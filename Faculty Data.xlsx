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4c375a3b0b3fb16c/Documents/AICW Fellowship/Project/Data/"/>
    </mc:Choice>
  </mc:AlternateContent>
  <xr:revisionPtr revIDLastSave="2451" documentId="11_F25DC773A252ABDACC10484DE95B46C85BDE58F1" xr6:coauthVersionLast="47" xr6:coauthVersionMax="47" xr10:uidLastSave="{3E9F69C6-43E6-4B88-9ACB-4A1396F83AF7}"/>
  <bookViews>
    <workbookView xWindow="-120" yWindow="-120" windowWidth="20730" windowHeight="11040" activeTab="2" xr2:uid="{00000000-000D-0000-FFFF-FFFF00000000}"/>
  </bookViews>
  <sheets>
    <sheet name="Raw_Data" sheetId="1" r:id="rId1"/>
    <sheet name="Faculty_Clean_Data" sheetId="6" r:id="rId2"/>
    <sheet name="Clean_Data" sheetId="5" r:id="rId3"/>
  </sheets>
  <definedNames>
    <definedName name="_xlnm._FilterDatabase" localSheetId="2" hidden="1">Clean_Data!$V$1:$V$110</definedName>
    <definedName name="_xlnm._FilterDatabase" localSheetId="0" hidden="1">Raw_Data!$T$1:$T$110</definedName>
    <definedName name="ExternalData_1" localSheetId="1" hidden="1">Faculty_Clean_Data!$A$1:$AD$110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V110" i="5"/>
  <c r="AC110" i="5" s="1"/>
  <c r="V109" i="5"/>
  <c r="AC109" i="5" s="1"/>
  <c r="V108" i="5"/>
  <c r="V107" i="5"/>
  <c r="AC107" i="5" s="1"/>
  <c r="V106" i="5"/>
  <c r="V105" i="5"/>
  <c r="AC105" i="5" s="1"/>
  <c r="V104" i="5"/>
  <c r="AC104" i="5" s="1"/>
  <c r="V103" i="5"/>
  <c r="AC103" i="5" s="1"/>
  <c r="V102" i="5"/>
  <c r="AC102" i="5" s="1"/>
  <c r="V101" i="5"/>
  <c r="AC101" i="5" s="1"/>
  <c r="V100" i="5"/>
  <c r="AC100" i="5" s="1"/>
  <c r="V99" i="5"/>
  <c r="AC99" i="5" s="1"/>
  <c r="V98" i="5"/>
  <c r="AC98" i="5" s="1"/>
  <c r="V97" i="5"/>
  <c r="AC97" i="5" s="1"/>
  <c r="V96" i="5"/>
  <c r="AC96" i="5" s="1"/>
  <c r="V95" i="5"/>
  <c r="AC95" i="5" s="1"/>
  <c r="V94" i="5"/>
  <c r="AC94" i="5" s="1"/>
  <c r="V93" i="5"/>
  <c r="AC93" i="5" s="1"/>
  <c r="V92" i="5"/>
  <c r="AC92" i="5" s="1"/>
  <c r="V91" i="5"/>
  <c r="AC91" i="5" s="1"/>
  <c r="V90" i="5"/>
  <c r="AC90" i="5" s="1"/>
  <c r="V89" i="5"/>
  <c r="AC89" i="5" s="1"/>
  <c r="V88" i="5"/>
  <c r="AC88" i="5" s="1"/>
  <c r="V87" i="5"/>
  <c r="AC87" i="5" s="1"/>
  <c r="V86" i="5"/>
  <c r="V85" i="5"/>
  <c r="AC85" i="5" s="1"/>
  <c r="V84" i="5"/>
  <c r="AC84" i="5" s="1"/>
  <c r="V83" i="5"/>
  <c r="AC83" i="5" s="1"/>
  <c r="V82" i="5"/>
  <c r="V81" i="5"/>
  <c r="AC81" i="5" s="1"/>
  <c r="V80" i="5"/>
  <c r="AC80" i="5" s="1"/>
  <c r="V79" i="5"/>
  <c r="AC79" i="5" s="1"/>
  <c r="V78" i="5"/>
  <c r="AC78" i="5" s="1"/>
  <c r="V77" i="5"/>
  <c r="AC77" i="5" s="1"/>
  <c r="V76" i="5"/>
  <c r="V75" i="5"/>
  <c r="AC75" i="5" s="1"/>
  <c r="V74" i="5"/>
  <c r="V73" i="5"/>
  <c r="AC73" i="5" s="1"/>
  <c r="V72" i="5"/>
  <c r="AC72" i="5" s="1"/>
  <c r="V71" i="5"/>
  <c r="AC71" i="5" s="1"/>
  <c r="V70" i="5"/>
  <c r="AC70" i="5" s="1"/>
  <c r="V69" i="5"/>
  <c r="AC69" i="5" s="1"/>
  <c r="V68" i="5"/>
  <c r="AC68" i="5" s="1"/>
  <c r="V67" i="5"/>
  <c r="AC67" i="5" s="1"/>
  <c r="V66" i="5"/>
  <c r="V65" i="5"/>
  <c r="AC65" i="5" s="1"/>
  <c r="V64" i="5"/>
  <c r="AC64" i="5" s="1"/>
  <c r="V63" i="5"/>
  <c r="AC63" i="5" s="1"/>
  <c r="V62" i="5"/>
  <c r="AC62" i="5" s="1"/>
  <c r="V61" i="5"/>
  <c r="AC61" i="5" s="1"/>
  <c r="V60" i="5"/>
  <c r="AC60" i="5" s="1"/>
  <c r="V59" i="5"/>
  <c r="AC59" i="5" s="1"/>
  <c r="V58" i="5"/>
  <c r="AC58" i="5" s="1"/>
  <c r="V57" i="5"/>
  <c r="AC57" i="5" s="1"/>
  <c r="V56" i="5"/>
  <c r="AC56" i="5" s="1"/>
  <c r="V55" i="5"/>
  <c r="AC55" i="5" s="1"/>
  <c r="V54" i="5"/>
  <c r="V53" i="5"/>
  <c r="AC53" i="5" s="1"/>
  <c r="V52" i="5"/>
  <c r="AC52" i="5" s="1"/>
  <c r="V51" i="5"/>
  <c r="AC51" i="5" s="1"/>
  <c r="V50" i="5"/>
  <c r="V49" i="5"/>
  <c r="AC49" i="5" s="1"/>
  <c r="V48" i="5"/>
  <c r="AC48" i="5" s="1"/>
  <c r="V47" i="5"/>
  <c r="AC47" i="5" s="1"/>
  <c r="V46" i="5"/>
  <c r="AC46" i="5" s="1"/>
  <c r="V45" i="5"/>
  <c r="AC45" i="5" s="1"/>
  <c r="V44" i="5"/>
  <c r="V43" i="5"/>
  <c r="AC43" i="5" s="1"/>
  <c r="V42" i="5"/>
  <c r="V41" i="5"/>
  <c r="AC41" i="5" s="1"/>
  <c r="V40" i="5"/>
  <c r="AC40" i="5" s="1"/>
  <c r="V39" i="5"/>
  <c r="AC39" i="5" s="1"/>
  <c r="V38" i="5"/>
  <c r="AC38" i="5" s="1"/>
  <c r="V37" i="5"/>
  <c r="AC37" i="5" s="1"/>
  <c r="V36" i="5"/>
  <c r="AC36" i="5" s="1"/>
  <c r="V35" i="5"/>
  <c r="AC35" i="5" s="1"/>
  <c r="V34" i="5"/>
  <c r="V33" i="5"/>
  <c r="AC33" i="5" s="1"/>
  <c r="V32" i="5"/>
  <c r="AC32" i="5" s="1"/>
  <c r="V31" i="5"/>
  <c r="AC31" i="5" s="1"/>
  <c r="V30" i="5"/>
  <c r="AC30" i="5" s="1"/>
  <c r="V29" i="5"/>
  <c r="AC29" i="5" s="1"/>
  <c r="V28" i="5"/>
  <c r="AC28" i="5" s="1"/>
  <c r="V27" i="5"/>
  <c r="AC27" i="5" s="1"/>
  <c r="V26" i="5"/>
  <c r="AC26" i="5" s="1"/>
  <c r="V25" i="5"/>
  <c r="AC25" i="5" s="1"/>
  <c r="V24" i="5"/>
  <c r="AC24" i="5" s="1"/>
  <c r="V23" i="5"/>
  <c r="AC23" i="5" s="1"/>
  <c r="V22" i="5"/>
  <c r="AC22" i="5" s="1"/>
  <c r="V21" i="5"/>
  <c r="AC21" i="5" s="1"/>
  <c r="V20" i="5"/>
  <c r="AC20" i="5" s="1"/>
  <c r="V19" i="5"/>
  <c r="AC19" i="5" s="1"/>
  <c r="V18" i="5"/>
  <c r="AC18" i="5" s="1"/>
  <c r="V17" i="5"/>
  <c r="AC17" i="5" s="1"/>
  <c r="V16" i="5"/>
  <c r="AC16" i="5" s="1"/>
  <c r="V15" i="5"/>
  <c r="AC15" i="5" s="1"/>
  <c r="V14" i="5"/>
  <c r="AC14" i="5" s="1"/>
  <c r="V13" i="5"/>
  <c r="AC13" i="5" s="1"/>
  <c r="V12" i="5"/>
  <c r="V11" i="5"/>
  <c r="AC11" i="5" s="1"/>
  <c r="V10" i="5"/>
  <c r="AC10" i="5" s="1"/>
  <c r="V9" i="5"/>
  <c r="AC9" i="5" s="1"/>
  <c r="V8" i="5"/>
  <c r="AC8" i="5" s="1"/>
  <c r="V7" i="5"/>
  <c r="AC7" i="5" s="1"/>
  <c r="V6" i="5"/>
  <c r="AC6" i="5" s="1"/>
  <c r="V5" i="5"/>
  <c r="AC5" i="5" s="1"/>
  <c r="V4" i="5"/>
  <c r="AC4" i="5" s="1"/>
  <c r="V3" i="5"/>
  <c r="AC3" i="5" s="1"/>
  <c r="V2" i="5"/>
  <c r="AC2" i="5" s="1"/>
  <c r="AC12" i="5"/>
  <c r="AC34" i="5"/>
  <c r="AC42" i="5"/>
  <c r="AC44" i="5"/>
  <c r="AC50" i="5"/>
  <c r="AC54" i="5"/>
  <c r="AC66" i="5"/>
  <c r="AC74" i="5"/>
  <c r="AC76" i="5"/>
  <c r="AC82" i="5"/>
  <c r="AC86" i="5"/>
  <c r="AC106" i="5"/>
  <c r="AC108" i="5"/>
  <c r="AA110" i="5"/>
  <c r="AA109" i="5"/>
  <c r="AA108" i="5"/>
  <c r="AA107" i="5"/>
  <c r="AA106" i="5"/>
  <c r="AA105" i="5"/>
  <c r="AA104" i="5"/>
  <c r="AA103" i="5"/>
  <c r="AA102" i="5"/>
  <c r="AA101" i="5"/>
  <c r="AA100" i="5"/>
  <c r="AA99" i="5"/>
  <c r="AA98" i="5"/>
  <c r="AA97" i="5"/>
  <c r="AA96" i="5"/>
  <c r="AA95" i="5"/>
  <c r="AA94" i="5"/>
  <c r="AA93" i="5"/>
  <c r="AA92" i="5"/>
  <c r="AA91" i="5"/>
  <c r="AA90" i="5"/>
  <c r="AA89" i="5"/>
  <c r="AA88" i="5"/>
  <c r="AA87" i="5"/>
  <c r="AA86" i="5"/>
  <c r="AA85" i="5"/>
  <c r="AA84" i="5"/>
  <c r="AA83" i="5"/>
  <c r="AA82" i="5"/>
  <c r="AA81" i="5"/>
  <c r="AA80" i="5"/>
  <c r="AA79" i="5"/>
  <c r="AA78" i="5"/>
  <c r="AA77" i="5"/>
  <c r="AA76" i="5"/>
  <c r="AA75" i="5"/>
  <c r="AA74" i="5"/>
  <c r="AA73" i="5"/>
  <c r="AA72" i="5"/>
  <c r="AA71" i="5"/>
  <c r="AA70" i="5"/>
  <c r="AA69" i="5"/>
  <c r="AA68" i="5"/>
  <c r="AA67" i="5"/>
  <c r="AA66" i="5"/>
  <c r="AA65" i="5"/>
  <c r="AA64" i="5"/>
  <c r="AA63" i="5"/>
  <c r="AA62" i="5"/>
  <c r="AA61" i="5"/>
  <c r="AA60" i="5"/>
  <c r="AA59" i="5"/>
  <c r="AA58" i="5"/>
  <c r="AA57" i="5"/>
  <c r="AA56" i="5"/>
  <c r="AA55" i="5"/>
  <c r="AA54" i="5"/>
  <c r="AA53" i="5"/>
  <c r="AA52" i="5"/>
  <c r="AA51" i="5"/>
  <c r="AA50" i="5"/>
  <c r="AA49" i="5"/>
  <c r="AA48" i="5"/>
  <c r="AA47" i="5"/>
  <c r="AA46" i="5"/>
  <c r="AA45" i="5"/>
  <c r="AA44" i="5"/>
  <c r="AA43" i="5"/>
  <c r="AA42" i="5"/>
  <c r="AA41" i="5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AA3" i="5"/>
  <c r="AA2" i="5"/>
  <c r="Y110" i="1"/>
  <c r="Z110" i="1" s="1"/>
  <c r="Y109" i="1"/>
  <c r="Z109" i="1" s="1"/>
  <c r="Y108" i="1"/>
  <c r="Z108" i="1" s="1"/>
  <c r="Y107" i="1"/>
  <c r="Z107" i="1" s="1"/>
  <c r="Y106" i="1"/>
  <c r="Z106" i="1" s="1"/>
  <c r="Y105" i="1"/>
  <c r="Z105" i="1" s="1"/>
  <c r="Y104" i="1"/>
  <c r="Z104" i="1" s="1"/>
  <c r="Y103" i="1"/>
  <c r="Z103" i="1" s="1"/>
  <c r="Y102" i="1"/>
  <c r="Z102" i="1" s="1"/>
  <c r="Y101" i="1"/>
  <c r="Z101" i="1" s="1"/>
  <c r="Y100" i="1"/>
  <c r="Z100" i="1" s="1"/>
  <c r="Y99" i="1"/>
  <c r="Z99" i="1" s="1"/>
  <c r="Y98" i="1"/>
  <c r="Z98" i="1" s="1"/>
  <c r="Y97" i="1"/>
  <c r="Z97" i="1" s="1"/>
  <c r="Y96" i="1"/>
  <c r="Z96" i="1" s="1"/>
  <c r="Y95" i="1"/>
  <c r="Z95" i="1" s="1"/>
  <c r="Y94" i="1"/>
  <c r="Z94" i="1" s="1"/>
  <c r="Y93" i="1"/>
  <c r="Z93" i="1" s="1"/>
  <c r="Y92" i="1"/>
  <c r="Z92" i="1" s="1"/>
  <c r="Y91" i="1"/>
  <c r="Z91" i="1" s="1"/>
  <c r="Y90" i="1"/>
  <c r="Z90" i="1" s="1"/>
  <c r="Y89" i="1"/>
  <c r="Z89" i="1" s="1"/>
  <c r="Y88" i="1"/>
  <c r="Z88" i="1" s="1"/>
  <c r="Y87" i="1"/>
  <c r="Z87" i="1" s="1"/>
  <c r="Y86" i="1"/>
  <c r="Z86" i="1" s="1"/>
  <c r="Y85" i="1"/>
  <c r="Z85" i="1" s="1"/>
  <c r="Y84" i="1"/>
  <c r="Z84" i="1" s="1"/>
  <c r="Y83" i="1"/>
  <c r="Z83" i="1" s="1"/>
  <c r="Y82" i="1"/>
  <c r="Z82" i="1" s="1"/>
  <c r="Y81" i="1"/>
  <c r="Z81" i="1" s="1"/>
  <c r="Y80" i="1"/>
  <c r="Z80" i="1" s="1"/>
  <c r="Y79" i="1"/>
  <c r="Z79" i="1" s="1"/>
  <c r="Y78" i="1"/>
  <c r="Z78" i="1" s="1"/>
  <c r="Y77" i="1"/>
  <c r="Z77" i="1" s="1"/>
  <c r="Y76" i="1"/>
  <c r="Z76" i="1" s="1"/>
  <c r="Y75" i="1"/>
  <c r="Z75" i="1" s="1"/>
  <c r="Y74" i="1"/>
  <c r="Z74" i="1" s="1"/>
  <c r="Y73" i="1"/>
  <c r="Z73" i="1" s="1"/>
  <c r="Y72" i="1"/>
  <c r="Z72" i="1" s="1"/>
  <c r="Y71" i="1"/>
  <c r="Z71" i="1" s="1"/>
  <c r="Y70" i="1"/>
  <c r="Z70" i="1" s="1"/>
  <c r="Y69" i="1"/>
  <c r="Z69" i="1" s="1"/>
  <c r="Y68" i="1"/>
  <c r="Z68" i="1" s="1"/>
  <c r="Y67" i="1"/>
  <c r="Z67" i="1" s="1"/>
  <c r="Y66" i="1"/>
  <c r="Z66" i="1" s="1"/>
  <c r="Y65" i="1"/>
  <c r="Z65" i="1" s="1"/>
  <c r="Y64" i="1"/>
  <c r="Z64" i="1" s="1"/>
  <c r="Y63" i="1"/>
  <c r="Z63" i="1" s="1"/>
  <c r="Y62" i="1"/>
  <c r="Z62" i="1" s="1"/>
  <c r="Y61" i="1"/>
  <c r="Z61" i="1" s="1"/>
  <c r="Y60" i="1"/>
  <c r="Z60" i="1" s="1"/>
  <c r="Y59" i="1"/>
  <c r="Z59" i="1" s="1"/>
  <c r="Y58" i="1"/>
  <c r="Z58" i="1" s="1"/>
  <c r="Y57" i="1"/>
  <c r="Z57" i="1" s="1"/>
  <c r="Y56" i="1"/>
  <c r="Z56" i="1" s="1"/>
  <c r="Y55" i="1"/>
  <c r="Z55" i="1" s="1"/>
  <c r="Y54" i="1"/>
  <c r="Z54" i="1" s="1"/>
  <c r="Y53" i="1"/>
  <c r="Z53" i="1" s="1"/>
  <c r="Y52" i="1"/>
  <c r="Z52" i="1" s="1"/>
  <c r="Y51" i="1"/>
  <c r="Z51" i="1" s="1"/>
  <c r="Y50" i="1"/>
  <c r="Z50" i="1" s="1"/>
  <c r="Y49" i="1"/>
  <c r="Z49" i="1" s="1"/>
  <c r="Y48" i="1"/>
  <c r="Z48" i="1" s="1"/>
  <c r="Y47" i="1"/>
  <c r="Z47" i="1" s="1"/>
  <c r="Y46" i="1"/>
  <c r="Z46" i="1" s="1"/>
  <c r="Y45" i="1"/>
  <c r="Z45" i="1" s="1"/>
  <c r="Y44" i="1"/>
  <c r="Z44" i="1" s="1"/>
  <c r="Y43" i="1"/>
  <c r="Z43" i="1" s="1"/>
  <c r="Y42" i="1"/>
  <c r="Z42" i="1" s="1"/>
  <c r="Y41" i="1"/>
  <c r="Z41" i="1" s="1"/>
  <c r="Y40" i="1"/>
  <c r="Z40" i="1" s="1"/>
  <c r="Y39" i="1"/>
  <c r="Z39" i="1" s="1"/>
  <c r="Y38" i="1"/>
  <c r="Z38" i="1" s="1"/>
  <c r="Y37" i="1"/>
  <c r="Z37" i="1" s="1"/>
  <c r="Y36" i="1"/>
  <c r="Z36" i="1" s="1"/>
  <c r="Y35" i="1"/>
  <c r="Z35" i="1" s="1"/>
  <c r="Y34" i="1"/>
  <c r="Z34" i="1" s="1"/>
  <c r="Y33" i="1"/>
  <c r="Z33" i="1" s="1"/>
  <c r="Y32" i="1"/>
  <c r="Z32" i="1" s="1"/>
  <c r="Y31" i="1"/>
  <c r="Z31" i="1" s="1"/>
  <c r="Y30" i="1"/>
  <c r="Z30" i="1" s="1"/>
  <c r="Y29" i="1"/>
  <c r="Z29" i="1" s="1"/>
  <c r="Y28" i="1"/>
  <c r="Z28" i="1" s="1"/>
  <c r="Y27" i="1"/>
  <c r="Z27" i="1" s="1"/>
  <c r="Y26" i="1"/>
  <c r="Z26" i="1" s="1"/>
  <c r="Y25" i="1"/>
  <c r="Z25" i="1" s="1"/>
  <c r="Y24" i="1"/>
  <c r="Z24" i="1" s="1"/>
  <c r="Y23" i="1"/>
  <c r="Z23" i="1" s="1"/>
  <c r="Y22" i="1"/>
  <c r="Z22" i="1" s="1"/>
  <c r="Y21" i="1"/>
  <c r="Z21" i="1" s="1"/>
  <c r="Y20" i="1"/>
  <c r="Z20" i="1" s="1"/>
  <c r="Y19" i="1"/>
  <c r="Z19" i="1" s="1"/>
  <c r="Y18" i="1"/>
  <c r="Z18" i="1" s="1"/>
  <c r="Y17" i="1"/>
  <c r="Z17" i="1" s="1"/>
  <c r="Y16" i="1"/>
  <c r="Z16" i="1" s="1"/>
  <c r="Y15" i="1"/>
  <c r="Z15" i="1" s="1"/>
  <c r="Y14" i="1"/>
  <c r="Z14" i="1" s="1"/>
  <c r="Y13" i="1"/>
  <c r="Z13" i="1" s="1"/>
  <c r="Y12" i="1"/>
  <c r="Z12" i="1" s="1"/>
  <c r="Y11" i="1"/>
  <c r="Z11" i="1" s="1"/>
  <c r="Y10" i="1"/>
  <c r="Z10" i="1" s="1"/>
  <c r="Y9" i="1"/>
  <c r="Z9" i="1" s="1"/>
  <c r="Y8" i="1"/>
  <c r="Z8" i="1" s="1"/>
  <c r="Y7" i="1"/>
  <c r="Z7" i="1" s="1"/>
  <c r="Y6" i="1"/>
  <c r="Z6" i="1" s="1"/>
  <c r="Y5" i="1"/>
  <c r="Z5" i="1" s="1"/>
  <c r="Y4" i="1"/>
  <c r="Z4" i="1" s="1"/>
  <c r="Y3" i="1"/>
  <c r="Z3" i="1" s="1"/>
  <c r="Y2" i="1"/>
  <c r="Z2" i="1" s="1"/>
  <c r="AB65" i="5" l="1"/>
  <c r="AB73" i="5"/>
  <c r="AD73" i="5" s="1"/>
  <c r="AB81" i="5"/>
  <c r="AB89" i="5"/>
  <c r="AB97" i="5"/>
  <c r="AB109" i="5"/>
  <c r="AD109" i="5" s="1"/>
  <c r="AD77" i="5"/>
  <c r="AB69" i="5"/>
  <c r="AD69" i="5" s="1"/>
  <c r="AB77" i="5"/>
  <c r="AB85" i="5"/>
  <c r="AB93" i="5"/>
  <c r="AD93" i="5" s="1"/>
  <c r="AB101" i="5"/>
  <c r="AD101" i="5" s="1"/>
  <c r="AB105" i="5"/>
  <c r="AB6" i="5"/>
  <c r="AD6" i="5" s="1"/>
  <c r="AB10" i="5"/>
  <c r="AD10" i="5" s="1"/>
  <c r="AB14" i="5"/>
  <c r="AD14" i="5" s="1"/>
  <c r="AB18" i="5"/>
  <c r="AB22" i="5"/>
  <c r="AB26" i="5"/>
  <c r="AB30" i="5"/>
  <c r="AD30" i="5" s="1"/>
  <c r="AB34" i="5"/>
  <c r="AD34" i="5" s="1"/>
  <c r="AB38" i="5"/>
  <c r="AD38" i="5" s="1"/>
  <c r="AB42" i="5"/>
  <c r="AD42" i="5" s="1"/>
  <c r="AB46" i="5"/>
  <c r="AD46" i="5" s="1"/>
  <c r="AB50" i="5"/>
  <c r="AB54" i="5"/>
  <c r="AD54" i="5" s="1"/>
  <c r="AB58" i="5"/>
  <c r="AD58" i="5" s="1"/>
  <c r="AB62" i="5"/>
  <c r="AD62" i="5" s="1"/>
  <c r="AB66" i="5"/>
  <c r="AB70" i="5"/>
  <c r="AD70" i="5" s="1"/>
  <c r="AB74" i="5"/>
  <c r="AD74" i="5" s="1"/>
  <c r="AB78" i="5"/>
  <c r="AD78" i="5" s="1"/>
  <c r="AB82" i="5"/>
  <c r="AD82" i="5" s="1"/>
  <c r="AB86" i="5"/>
  <c r="AD86" i="5" s="1"/>
  <c r="AB90" i="5"/>
  <c r="AD90" i="5" s="1"/>
  <c r="AB94" i="5"/>
  <c r="AD94" i="5" s="1"/>
  <c r="AB98" i="5"/>
  <c r="AD98" i="5" s="1"/>
  <c r="AB102" i="5"/>
  <c r="AD102" i="5" s="1"/>
  <c r="AB106" i="5"/>
  <c r="AB110" i="5"/>
  <c r="AD110" i="5" s="1"/>
  <c r="AD50" i="5"/>
  <c r="AD18" i="5"/>
  <c r="AD66" i="5"/>
  <c r="AB5" i="5"/>
  <c r="AD5" i="5" s="1"/>
  <c r="AB9" i="5"/>
  <c r="AB13" i="5"/>
  <c r="AD13" i="5" s="1"/>
  <c r="AB17" i="5"/>
  <c r="AD17" i="5" s="1"/>
  <c r="AB21" i="5"/>
  <c r="AD21" i="5" s="1"/>
  <c r="AB25" i="5"/>
  <c r="AB29" i="5"/>
  <c r="AD29" i="5" s="1"/>
  <c r="AB33" i="5"/>
  <c r="AD33" i="5" s="1"/>
  <c r="AB37" i="5"/>
  <c r="AD37" i="5" s="1"/>
  <c r="AB41" i="5"/>
  <c r="AB45" i="5"/>
  <c r="AD45" i="5" s="1"/>
  <c r="AB49" i="5"/>
  <c r="AD49" i="5" s="1"/>
  <c r="AB53" i="5"/>
  <c r="AD53" i="5" s="1"/>
  <c r="AB57" i="5"/>
  <c r="AB61" i="5"/>
  <c r="AB64" i="5"/>
  <c r="AD64" i="5" s="1"/>
  <c r="AB68" i="5"/>
  <c r="AD68" i="5" s="1"/>
  <c r="AB72" i="5"/>
  <c r="AD72" i="5" s="1"/>
  <c r="AB76" i="5"/>
  <c r="AD76" i="5" s="1"/>
  <c r="AB80" i="5"/>
  <c r="AD80" i="5" s="1"/>
  <c r="AB84" i="5"/>
  <c r="AD84" i="5" s="1"/>
  <c r="AB88" i="5"/>
  <c r="AD88" i="5" s="1"/>
  <c r="AB92" i="5"/>
  <c r="AD92" i="5" s="1"/>
  <c r="AB96" i="5"/>
  <c r="AD96" i="5" s="1"/>
  <c r="AB100" i="5"/>
  <c r="AD100" i="5" s="1"/>
  <c r="AB104" i="5"/>
  <c r="AD104" i="5" s="1"/>
  <c r="AB108" i="5"/>
  <c r="AD108" i="5" s="1"/>
  <c r="AD81" i="5"/>
  <c r="AD65" i="5"/>
  <c r="AD106" i="5"/>
  <c r="AD85" i="5"/>
  <c r="AD26" i="5"/>
  <c r="AD61" i="5"/>
  <c r="AD97" i="5"/>
  <c r="AD22" i="5"/>
  <c r="AB4" i="5"/>
  <c r="AD4" i="5" s="1"/>
  <c r="AB8" i="5"/>
  <c r="AD8" i="5" s="1"/>
  <c r="AB12" i="5"/>
  <c r="AD12" i="5" s="1"/>
  <c r="AB16" i="5"/>
  <c r="AD16" i="5" s="1"/>
  <c r="AB20" i="5"/>
  <c r="AD20" i="5" s="1"/>
  <c r="AB24" i="5"/>
  <c r="AD24" i="5" s="1"/>
  <c r="AB28" i="5"/>
  <c r="AD28" i="5" s="1"/>
  <c r="AB32" i="5"/>
  <c r="AD32" i="5" s="1"/>
  <c r="AB36" i="5"/>
  <c r="AD36" i="5" s="1"/>
  <c r="AB40" i="5"/>
  <c r="AD40" i="5" s="1"/>
  <c r="AB44" i="5"/>
  <c r="AD44" i="5" s="1"/>
  <c r="AB48" i="5"/>
  <c r="AD48" i="5" s="1"/>
  <c r="AB52" i="5"/>
  <c r="AD52" i="5" s="1"/>
  <c r="AB56" i="5"/>
  <c r="AD56" i="5" s="1"/>
  <c r="AB60" i="5"/>
  <c r="AD60" i="5" s="1"/>
  <c r="AD105" i="5"/>
  <c r="AD89" i="5"/>
  <c r="AD57" i="5"/>
  <c r="AD41" i="5"/>
  <c r="AD25" i="5"/>
  <c r="AD9" i="5"/>
  <c r="AB3" i="5"/>
  <c r="AD3" i="5" s="1"/>
  <c r="AB7" i="5"/>
  <c r="AD7" i="5" s="1"/>
  <c r="AB11" i="5"/>
  <c r="AD11" i="5" s="1"/>
  <c r="AB15" i="5"/>
  <c r="AD15" i="5" s="1"/>
  <c r="AB19" i="5"/>
  <c r="AD19" i="5" s="1"/>
  <c r="AB23" i="5"/>
  <c r="AD23" i="5" s="1"/>
  <c r="AB27" i="5"/>
  <c r="AD27" i="5" s="1"/>
  <c r="AB31" i="5"/>
  <c r="AD31" i="5" s="1"/>
  <c r="AB35" i="5"/>
  <c r="AD35" i="5" s="1"/>
  <c r="AB39" i="5"/>
  <c r="AD39" i="5" s="1"/>
  <c r="AB43" i="5"/>
  <c r="AD43" i="5" s="1"/>
  <c r="AB47" i="5"/>
  <c r="AD47" i="5" s="1"/>
  <c r="AB51" i="5"/>
  <c r="AD51" i="5" s="1"/>
  <c r="AB55" i="5"/>
  <c r="AD55" i="5" s="1"/>
  <c r="AB59" i="5"/>
  <c r="AD59" i="5" s="1"/>
  <c r="AB63" i="5"/>
  <c r="AD63" i="5" s="1"/>
  <c r="AB67" i="5"/>
  <c r="AD67" i="5" s="1"/>
  <c r="AB71" i="5"/>
  <c r="AD71" i="5" s="1"/>
  <c r="AB75" i="5"/>
  <c r="AD75" i="5" s="1"/>
  <c r="AB79" i="5"/>
  <c r="AD79" i="5" s="1"/>
  <c r="AB83" i="5"/>
  <c r="AD83" i="5" s="1"/>
  <c r="AB87" i="5"/>
  <c r="AD87" i="5" s="1"/>
  <c r="AB91" i="5"/>
  <c r="AD91" i="5" s="1"/>
  <c r="AB95" i="5"/>
  <c r="AD95" i="5" s="1"/>
  <c r="AB99" i="5"/>
  <c r="AD99" i="5" s="1"/>
  <c r="AB103" i="5"/>
  <c r="AD103" i="5" s="1"/>
  <c r="AB107" i="5"/>
  <c r="AD107" i="5" s="1"/>
  <c r="AB2" i="5"/>
  <c r="AD2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EE23DC-DE87-42BD-AFD5-5C743FCC8593}" keepAlive="1" name="Query - Errors in Table1" description="Connection to the 'Errors in Table1' query in the workbook." type="5" refreshedVersion="0" background="1">
    <dbPr connection="Provider=Microsoft.Mashup.OleDb.1;Data Source=$Workbook$;Location=&quot;Errors in Table1&quot;;Extended Properties=&quot;&quot;" command="SELECT * FROM [Errors in Table1]"/>
  </connection>
  <connection id="2" xr16:uid="{288C3DB1-86AA-4B26-9EEA-F218F026C94C}" keepAlive="1" name="Query - Faculty_Clean_Data" description="Connection to the 'Faculty_Clean_Data' query in the workbook." type="5" refreshedVersion="8" background="1" saveData="1">
    <dbPr connection="Provider=Microsoft.Mashup.OleDb.1;Data Source=$Workbook$;Location=Faculty_Clean_Data;Extended Properties=&quot;&quot;" command="SELECT * FROM [Faculty_Clean_Data]"/>
  </connection>
  <connection id="3" xr16:uid="{6BBD6A0D-A18F-4BEA-9388-F006F9F42B31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<sst xmlns="http://schemas.openxmlformats.org/spreadsheetml/2006/main" count="2370" uniqueCount="381">
  <si>
    <t>Faculty ID</t>
  </si>
  <si>
    <t>Designation</t>
  </si>
  <si>
    <t>Department</t>
  </si>
  <si>
    <t>Specialization</t>
  </si>
  <si>
    <t>Qualification</t>
  </si>
  <si>
    <t>Lab Hours</t>
  </si>
  <si>
    <t>No.of Teaching Hours per week</t>
  </si>
  <si>
    <t>Repeat Courses</t>
  </si>
  <si>
    <t>New Courses</t>
  </si>
  <si>
    <t>Class Size</t>
  </si>
  <si>
    <t>Classes per week</t>
  </si>
  <si>
    <t>Projects/Mentoring</t>
  </si>
  <si>
    <t>Total hours/Week</t>
  </si>
  <si>
    <t>Professor</t>
  </si>
  <si>
    <t>Dr M Kavitha</t>
  </si>
  <si>
    <t>Associate Professor</t>
  </si>
  <si>
    <t>Dr P Kameswara Rao</t>
  </si>
  <si>
    <t>Dean / Principal / Director / Vice Chancellor</t>
  </si>
  <si>
    <t>Assistant Professor</t>
  </si>
  <si>
    <t>MAHAVEERA NAGA SUJITHA SAYANA</t>
  </si>
  <si>
    <t>MOUNIKA DASARI</t>
  </si>
  <si>
    <t>Ms K BABITHA</t>
  </si>
  <si>
    <t>Ms K SHANTHI</t>
  </si>
  <si>
    <t>N S LAKSHMI PRAVEENA</t>
  </si>
  <si>
    <t>SIRISHA KONDAPALLI</t>
  </si>
  <si>
    <t>SIVAKRANTHI KONDA</t>
  </si>
  <si>
    <t>SIVALAKSHMI BATTULA</t>
  </si>
  <si>
    <t>T Bhargavi</t>
  </si>
  <si>
    <t>V MARY FRANCINA</t>
  </si>
  <si>
    <t>Dr T Alekhya</t>
  </si>
  <si>
    <t>J Madhavilatha</t>
  </si>
  <si>
    <t>T Saritha</t>
  </si>
  <si>
    <t>A N L Sudha</t>
  </si>
  <si>
    <t>D S Ch S Harini</t>
  </si>
  <si>
    <t>M S L Gayatri</t>
  </si>
  <si>
    <t>K Lakshmi Tulasi</t>
  </si>
  <si>
    <t>A Sirisha</t>
  </si>
  <si>
    <t>Ph.D</t>
  </si>
  <si>
    <t>MBA</t>
  </si>
  <si>
    <t>M.A</t>
  </si>
  <si>
    <t>M.COM</t>
  </si>
  <si>
    <t>M.Sc.</t>
  </si>
  <si>
    <t>MCA</t>
  </si>
  <si>
    <t>MERLIN PRINCESS</t>
  </si>
  <si>
    <t>Gavaraju Srilekha</t>
  </si>
  <si>
    <t>M Surendra Prasad</t>
  </si>
  <si>
    <t>S S G N SRINIVASA RAO</t>
  </si>
  <si>
    <t>D RAJESHWARI</t>
  </si>
  <si>
    <t>K LALITHA</t>
  </si>
  <si>
    <t>N P SWATHI</t>
  </si>
  <si>
    <t>K MOHINI RANI</t>
  </si>
  <si>
    <t>G SAI PRIYANKA</t>
  </si>
  <si>
    <t>P Anitha</t>
  </si>
  <si>
    <t>P S R Swathi</t>
  </si>
  <si>
    <t>A Hemalatha</t>
  </si>
  <si>
    <t>B Neelima</t>
  </si>
  <si>
    <t>J Sai Karuna</t>
  </si>
  <si>
    <t>D Deepa</t>
  </si>
  <si>
    <t>M. Phil</t>
  </si>
  <si>
    <t>PANDILLA SOUJANYA</t>
  </si>
  <si>
    <t>MADHAVILATHA BANDARU</t>
  </si>
  <si>
    <t>GRANDHI V SWAROOPA</t>
  </si>
  <si>
    <t>Peddapelli navya</t>
  </si>
  <si>
    <t>VITALA SEETA</t>
  </si>
  <si>
    <t>BUSARAPALLI BINDU MADHAVI</t>
  </si>
  <si>
    <t>YERRA YAMINI PRIYA</t>
  </si>
  <si>
    <t>KEMDI RAJESHWARI</t>
  </si>
  <si>
    <t>DONDETI PADMAVATHI</t>
  </si>
  <si>
    <t>PAIDALA SRILAKSHMI</t>
  </si>
  <si>
    <t>K SWAPNA</t>
  </si>
  <si>
    <t>SRAVANI SEELAM</t>
  </si>
  <si>
    <t>ANUMOLU MOUNIKA</t>
  </si>
  <si>
    <t>GANTA APARNA</t>
  </si>
  <si>
    <t>M.Tech</t>
  </si>
  <si>
    <t>SAMUDRAM RAJU</t>
  </si>
  <si>
    <t>GARLAPATI PADMAJA</t>
  </si>
  <si>
    <t>GANAPATHINEEDI ANISHA</t>
  </si>
  <si>
    <t>NEKKELAPU ASHA RANI</t>
  </si>
  <si>
    <t>DANDAMUDI NAGA SUHASINI</t>
  </si>
  <si>
    <t>KANDUNURI RAMAKRISHNA</t>
  </si>
  <si>
    <t>NALAM RAMYA KRISHNA</t>
  </si>
  <si>
    <t>THOTAKURA SRILAKSHMI</t>
  </si>
  <si>
    <t>KARAMCHETI RAJASEKHAR</t>
  </si>
  <si>
    <t>PAGILLA MADHAVI</t>
  </si>
  <si>
    <t>NALINA NAVYA DEEPTHI</t>
  </si>
  <si>
    <t>SUNITHA AVULA</t>
  </si>
  <si>
    <t>MADISETTY TEJASWINI</t>
  </si>
  <si>
    <t>NEELA SRUTHI</t>
  </si>
  <si>
    <t>SIVA KUMAR RAJA KALLURU</t>
  </si>
  <si>
    <t>MALLELA GANGA SUKANYA</t>
  </si>
  <si>
    <t>D SRILAKSHMI</t>
  </si>
  <si>
    <t>JYOTI SRIVASTAVA</t>
  </si>
  <si>
    <t>latepogu Rajesh</t>
  </si>
  <si>
    <t>NATHI PRAVEEN</t>
  </si>
  <si>
    <t>Venkata lakshmi Kurapati</t>
  </si>
  <si>
    <t>Mallisetty Vijayalakshmi</t>
  </si>
  <si>
    <t>Nathi Anuragmayi</t>
  </si>
  <si>
    <t>Divya Bharathi Gadde</t>
  </si>
  <si>
    <t>Shirishaa Veshala</t>
  </si>
  <si>
    <t>Swathi Alluri</t>
  </si>
  <si>
    <t>Kalam Lakshmi Tulasi</t>
  </si>
  <si>
    <t>Korampalli Lavanya</t>
  </si>
  <si>
    <t>Mohammed Irfan Ali</t>
  </si>
  <si>
    <t>Patibandla Padmaja</t>
  </si>
  <si>
    <t>Akula Shilpa Rani</t>
  </si>
  <si>
    <t>E Kalyani</t>
  </si>
  <si>
    <t>Amaravathi Aparna Devi</t>
  </si>
  <si>
    <t>Peddapalli Shobha Rani</t>
  </si>
  <si>
    <t>Sunita Vaidyata Dharavat</t>
  </si>
  <si>
    <t>Kakarla Anuja</t>
  </si>
  <si>
    <t>Gangam Anusha</t>
  </si>
  <si>
    <t>Jeedikanthi Lavanya</t>
  </si>
  <si>
    <t>Somepalli Supraja</t>
  </si>
  <si>
    <t>Dasari Hema</t>
  </si>
  <si>
    <t>M.Sc</t>
  </si>
  <si>
    <t>P Naveena</t>
  </si>
  <si>
    <t>B Sandhya</t>
  </si>
  <si>
    <t>T Usha Durga</t>
  </si>
  <si>
    <t>MA</t>
  </si>
  <si>
    <t>Sl.No</t>
  </si>
  <si>
    <t>Total Direct Teaching Hours</t>
  </si>
  <si>
    <t>H &amp; S</t>
  </si>
  <si>
    <t>Maths</t>
  </si>
  <si>
    <t>Same subject- Different sections</t>
  </si>
  <si>
    <t>No. of Core subjects</t>
  </si>
  <si>
    <t>No. of Elective subjects</t>
  </si>
  <si>
    <t>English</t>
  </si>
  <si>
    <t>electrical</t>
  </si>
  <si>
    <t>Electrical</t>
  </si>
  <si>
    <t>Chemistry</t>
  </si>
  <si>
    <t>CAD</t>
  </si>
  <si>
    <t>Physics</t>
  </si>
  <si>
    <t>Mechanical</t>
  </si>
  <si>
    <t>ECE</t>
  </si>
  <si>
    <t>No.of Subjects Allotted</t>
  </si>
  <si>
    <t>Electronics</t>
  </si>
  <si>
    <t>Electronis</t>
  </si>
  <si>
    <t>CSE</t>
  </si>
  <si>
    <t>Computer Science</t>
  </si>
  <si>
    <t>6 hours</t>
  </si>
  <si>
    <t>Finance</t>
  </si>
  <si>
    <t>electronics</t>
  </si>
  <si>
    <t>null</t>
  </si>
  <si>
    <t>Comuter</t>
  </si>
  <si>
    <t>Business Management</t>
  </si>
  <si>
    <t>Commerce</t>
  </si>
  <si>
    <t>Science</t>
  </si>
  <si>
    <t>Sanskrit</t>
  </si>
  <si>
    <t>Statistics</t>
  </si>
  <si>
    <t>Accounting</t>
  </si>
  <si>
    <t>Mathematics</t>
  </si>
  <si>
    <t>HR</t>
  </si>
  <si>
    <t>Marketing</t>
  </si>
  <si>
    <t>P Salma</t>
  </si>
  <si>
    <t>Banking</t>
  </si>
  <si>
    <t>P Chandana</t>
  </si>
  <si>
    <t>Tutorials/Activity</t>
  </si>
  <si>
    <t>Mr N Krishna</t>
  </si>
  <si>
    <t>R Seetha</t>
  </si>
  <si>
    <t>Ms D Saritha</t>
  </si>
  <si>
    <t>Ms R Hemalatha</t>
  </si>
  <si>
    <t>RUBR001</t>
  </si>
  <si>
    <t>RUBR002</t>
  </si>
  <si>
    <t>RUBR003</t>
  </si>
  <si>
    <t>RUBR004</t>
  </si>
  <si>
    <t>RUBR006</t>
  </si>
  <si>
    <t>RUBR005</t>
  </si>
  <si>
    <t>RUBR007</t>
  </si>
  <si>
    <t>RUBR008</t>
  </si>
  <si>
    <t>RUBR009</t>
  </si>
  <si>
    <t>RUBR010</t>
  </si>
  <si>
    <t>RUBR011</t>
  </si>
  <si>
    <t>RUBR012</t>
  </si>
  <si>
    <t>RUBR013</t>
  </si>
  <si>
    <t>RUBR014</t>
  </si>
  <si>
    <t>RUBR015</t>
  </si>
  <si>
    <t>RUBR016</t>
  </si>
  <si>
    <t>RUBR017</t>
  </si>
  <si>
    <t>RUBR018</t>
  </si>
  <si>
    <t>RUBR019</t>
  </si>
  <si>
    <t>RUBR020</t>
  </si>
  <si>
    <t>RUBR021</t>
  </si>
  <si>
    <t>RUBR022</t>
  </si>
  <si>
    <t>RUBR023</t>
  </si>
  <si>
    <t>RUBR024</t>
  </si>
  <si>
    <t>RUBR025</t>
  </si>
  <si>
    <t>RUBR026</t>
  </si>
  <si>
    <t>RUBR027</t>
  </si>
  <si>
    <t>RUBR028</t>
  </si>
  <si>
    <t>RUBR029</t>
  </si>
  <si>
    <t>RUBR030</t>
  </si>
  <si>
    <t>RUBR031</t>
  </si>
  <si>
    <t>RUBR032</t>
  </si>
  <si>
    <t>RUBR033</t>
  </si>
  <si>
    <t>RUBR034</t>
  </si>
  <si>
    <t>RUBR035</t>
  </si>
  <si>
    <t>RUBR036</t>
  </si>
  <si>
    <t>RUBR037</t>
  </si>
  <si>
    <t>RUBR038</t>
  </si>
  <si>
    <t>RUBR039</t>
  </si>
  <si>
    <t>RUBR040</t>
  </si>
  <si>
    <t>RUBR041</t>
  </si>
  <si>
    <t>RUBR042</t>
  </si>
  <si>
    <t>RUBR043</t>
  </si>
  <si>
    <t>RUBR044</t>
  </si>
  <si>
    <t>RUBR045</t>
  </si>
  <si>
    <t>RUBR046</t>
  </si>
  <si>
    <t>RMS001</t>
  </si>
  <si>
    <t>RMS002</t>
  </si>
  <si>
    <t>RMS003</t>
  </si>
  <si>
    <t>RMS004</t>
  </si>
  <si>
    <t>RMS005</t>
  </si>
  <si>
    <t>RMS006</t>
  </si>
  <si>
    <t>RMS007</t>
  </si>
  <si>
    <t>RMS008</t>
  </si>
  <si>
    <t>RMS009</t>
  </si>
  <si>
    <t>RMS010</t>
  </si>
  <si>
    <t>RMS011</t>
  </si>
  <si>
    <t>RMS012</t>
  </si>
  <si>
    <t>RMS013</t>
  </si>
  <si>
    <t>RMS014</t>
  </si>
  <si>
    <t>RMS015</t>
  </si>
  <si>
    <t>RMS016</t>
  </si>
  <si>
    <t>RMS017</t>
  </si>
  <si>
    <t>RMS018</t>
  </si>
  <si>
    <t>RMS019</t>
  </si>
  <si>
    <t>RMS020</t>
  </si>
  <si>
    <t>RMS021</t>
  </si>
  <si>
    <t>RMS022</t>
  </si>
  <si>
    <t>RMS023</t>
  </si>
  <si>
    <t>RMS024</t>
  </si>
  <si>
    <t>RMS025</t>
  </si>
  <si>
    <t>RMS026</t>
  </si>
  <si>
    <t>RMS027</t>
  </si>
  <si>
    <t>RMS028</t>
  </si>
  <si>
    <t>RMS029</t>
  </si>
  <si>
    <t>RMS030</t>
  </si>
  <si>
    <t>RMS031</t>
  </si>
  <si>
    <t>RMS032</t>
  </si>
  <si>
    <t>RMS033</t>
  </si>
  <si>
    <t>RMS034</t>
  </si>
  <si>
    <t>RMS035</t>
  </si>
  <si>
    <t>RMS036</t>
  </si>
  <si>
    <t>RMS037</t>
  </si>
  <si>
    <t>RMS038</t>
  </si>
  <si>
    <t>RMS039</t>
  </si>
  <si>
    <t>RMS040</t>
  </si>
  <si>
    <t>RMS041</t>
  </si>
  <si>
    <t>RMS042</t>
  </si>
  <si>
    <t>RMS043</t>
  </si>
  <si>
    <t>RMS044</t>
  </si>
  <si>
    <t>RMS045</t>
  </si>
  <si>
    <t>RMS046</t>
  </si>
  <si>
    <t>RMS047</t>
  </si>
  <si>
    <t>RMS048</t>
  </si>
  <si>
    <t>RMS049</t>
  </si>
  <si>
    <t>RMS050</t>
  </si>
  <si>
    <t>RMS051</t>
  </si>
  <si>
    <t>RMS052</t>
  </si>
  <si>
    <t>RMS053</t>
  </si>
  <si>
    <t>RMS054</t>
  </si>
  <si>
    <t>RMS055</t>
  </si>
  <si>
    <t>RMS056</t>
  </si>
  <si>
    <t>RMS057</t>
  </si>
  <si>
    <t>RMS058</t>
  </si>
  <si>
    <t>RMS059</t>
  </si>
  <si>
    <t>RMS060</t>
  </si>
  <si>
    <t>RMS061</t>
  </si>
  <si>
    <t>RMS062</t>
  </si>
  <si>
    <t>RMS063</t>
  </si>
  <si>
    <t>No. of Administrative hours/week</t>
  </si>
  <si>
    <t>Research Hours/week</t>
  </si>
  <si>
    <t>No.of Committee hours/week</t>
  </si>
  <si>
    <t>Dr RAMA MOKKARALA</t>
  </si>
  <si>
    <t>Dr CHANDRA SEKHAR RAJANALA</t>
  </si>
  <si>
    <t>Dr ANURADHA GUPTA</t>
  </si>
  <si>
    <t>Dr BIRAGONI RADHIKA GOUD</t>
  </si>
  <si>
    <t>Dr SHRADDHA PANDEY</t>
  </si>
  <si>
    <t>Dr G SRINIVAS KUMAR</t>
  </si>
  <si>
    <t>Dr ARCHANA PATIL</t>
  </si>
  <si>
    <t>Dr Y V SATYAVATHI YEDIDA</t>
  </si>
  <si>
    <t>Dr Yedida Venkata Lakshmi</t>
  </si>
  <si>
    <t>Dr Karasala Rama Naga Kiran Kumar</t>
  </si>
  <si>
    <t>Dr ASMA FATIMA</t>
  </si>
  <si>
    <t>Name of the Faculty Member</t>
  </si>
  <si>
    <t>Experience(in Years)</t>
  </si>
  <si>
    <t>Total Service Hours</t>
  </si>
  <si>
    <t>Faculty _ID</t>
  </si>
  <si>
    <t>Name</t>
  </si>
  <si>
    <t>Experience_Years</t>
  </si>
  <si>
    <t>No_of_Subjects_Allotted</t>
  </si>
  <si>
    <t>Same_subject_Different_sections</t>
  </si>
  <si>
    <t>No_of_Core_subjects</t>
  </si>
  <si>
    <t>No_of_Elective_subjects</t>
  </si>
  <si>
    <t>Class_Size</t>
  </si>
  <si>
    <t>New_Courses</t>
  </si>
  <si>
    <t>Repeat_Courses</t>
  </si>
  <si>
    <t>Classes_per_week</t>
  </si>
  <si>
    <t>Teaching_Hours</t>
  </si>
  <si>
    <t>Lab_Hours</t>
  </si>
  <si>
    <t>Tutorials_Activity</t>
  </si>
  <si>
    <t>Direct_Teaching_Hours</t>
  </si>
  <si>
    <t>Research_Hours</t>
  </si>
  <si>
    <t>Committee_Hours</t>
  </si>
  <si>
    <t>Administrative_Hours</t>
  </si>
  <si>
    <t>Projects_Mentoring</t>
  </si>
  <si>
    <t>Total_Service_Hours</t>
  </si>
  <si>
    <t>Total_Hours</t>
  </si>
  <si>
    <t>Check_Total</t>
  </si>
  <si>
    <t>Error_Flag</t>
  </si>
  <si>
    <t>Principal_Engg</t>
  </si>
  <si>
    <t>Principal_UBR</t>
  </si>
  <si>
    <t>Experience_level</t>
  </si>
  <si>
    <t>Course_Load</t>
  </si>
  <si>
    <t>Dr Chandra Sekhar Rajanala</t>
  </si>
  <si>
    <t>Senior</t>
  </si>
  <si>
    <t>Low Load</t>
  </si>
  <si>
    <t>OK</t>
  </si>
  <si>
    <t>Mid</t>
  </si>
  <si>
    <t>Principal_Ubr</t>
  </si>
  <si>
    <t>Mahaveera Naga Sujitha Sayana</t>
  </si>
  <si>
    <t>Mounika Dasari</t>
  </si>
  <si>
    <t>Ms K Babitha</t>
  </si>
  <si>
    <t>Junior</t>
  </si>
  <si>
    <t>Ms K Shanthi</t>
  </si>
  <si>
    <t>N S Lakshmi Praveena</t>
  </si>
  <si>
    <t>Dr Rama Mokkarala</t>
  </si>
  <si>
    <t>Sirisha Kondapalli</t>
  </si>
  <si>
    <t>Sivakranthi Konda</t>
  </si>
  <si>
    <t>Sivalakshmi Battula</t>
  </si>
  <si>
    <t>V Mary Francina</t>
  </si>
  <si>
    <t>High Load</t>
  </si>
  <si>
    <t>Merlin Princess</t>
  </si>
  <si>
    <t>S S G N Srinivasa Rao</t>
  </si>
  <si>
    <t>D Rajeshwari</t>
  </si>
  <si>
    <t>K Lalitha</t>
  </si>
  <si>
    <t>N P Swathi</t>
  </si>
  <si>
    <t>K Mohini Rani</t>
  </si>
  <si>
    <t>G Sai Priyanka</t>
  </si>
  <si>
    <t>Dr Anuradha Gupta</t>
  </si>
  <si>
    <t>Pandilla Soujanya</t>
  </si>
  <si>
    <t>Madhavilatha Bandaru</t>
  </si>
  <si>
    <t>Grandhi V Swaroopa</t>
  </si>
  <si>
    <t>Dr Biragoni Radhika Goud</t>
  </si>
  <si>
    <t>Peddapelli Navya</t>
  </si>
  <si>
    <t>Vitala Seeta</t>
  </si>
  <si>
    <t>Busarapalli Bindu Madhavi</t>
  </si>
  <si>
    <t>Yerra Yamini Priya</t>
  </si>
  <si>
    <t>Kemdi Rajeshwari</t>
  </si>
  <si>
    <t>Dondeti Padmavathi</t>
  </si>
  <si>
    <t>Paidala Srilakshmi</t>
  </si>
  <si>
    <t>K Swapna</t>
  </si>
  <si>
    <t>Sravani Seelam</t>
  </si>
  <si>
    <t>Anumolu Mounika</t>
  </si>
  <si>
    <t>Dr Shraddha Pandey</t>
  </si>
  <si>
    <t>Ganta Aparna</t>
  </si>
  <si>
    <t>Samudram Raju</t>
  </si>
  <si>
    <t>Garlapati Padmaja</t>
  </si>
  <si>
    <t>Ganapathineedi Anisha</t>
  </si>
  <si>
    <t>Nekkelapu Asha Rani</t>
  </si>
  <si>
    <t>Dandamudi Naga Suhasini</t>
  </si>
  <si>
    <t>Kandunuri Ramakrishna</t>
  </si>
  <si>
    <t>Nalam Ramya Krishna</t>
  </si>
  <si>
    <t>Thotakura Srilakshmi</t>
  </si>
  <si>
    <t>Karamcheti Rajasekhar</t>
  </si>
  <si>
    <t>Pagilla Madhavi</t>
  </si>
  <si>
    <t>Dr G Srinivas Kumar</t>
  </si>
  <si>
    <t>Dr Archana Patil</t>
  </si>
  <si>
    <t>Dr Asma Fatima</t>
  </si>
  <si>
    <t>Nalina Navya Deepthi</t>
  </si>
  <si>
    <t>Dr Y V Satyavathi Yedida</t>
  </si>
  <si>
    <t>Sunitha Avula</t>
  </si>
  <si>
    <t>Madisetty Tejaswini</t>
  </si>
  <si>
    <t>Neela Sruthi</t>
  </si>
  <si>
    <t>Siva Kumar Raja Kalluru</t>
  </si>
  <si>
    <t>Mallela Ganga Sukanya</t>
  </si>
  <si>
    <t>D Srilakshmi</t>
  </si>
  <si>
    <t>Jyoti Srivastava</t>
  </si>
  <si>
    <t>Latepogu Rajesh</t>
  </si>
  <si>
    <t>Nathi Praveen</t>
  </si>
  <si>
    <t>Venkata Lakshmi Kurapati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</si>
</sst>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vertical="center" wrapText="1"/>
    </xf>
    <xf numFmtId="0" fontId="0" fillId="2" borderId="1" xfId="0" applyFill="1" applyBorder="1"/>
    <xf numFmtId="0" fontId="0" fillId="3" borderId="1" xfId="0" applyFill="1" applyBorder="1"/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0" xfId="0" applyFill="1"/>
    <xf numFmtId="0" fontId="0" fillId="5" borderId="0" xfId="0" applyFill="1"/>
    <xf numFmtId="16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0" fontId="1" fillId="4" borderId="5" xfId="0" applyFont="1" applyFill="1" applyBorder="1" applyAlignment="1">
      <alignment horizontal="center" wrapText="1"/>
    </xf>
    <xf numFmtId="0" fontId="1" fillId="4" borderId="5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5" borderId="9" xfId="0" applyFill="1" applyBorder="1" applyAlignment="1">
      <alignment horizontal="center"/>
    </xf>
    <xf numFmtId="0" fontId="3" fillId="3" borderId="5" xfId="0" applyFont="1" applyFill="1" applyBorder="1" applyAlignment="1">
      <alignment horizontal="center" wrapText="1"/>
    </xf>
    <xf numFmtId="2" fontId="1" fillId="0" borderId="5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0" xfId="0" applyNumberFormat="1"/>
    <xf numFmtId="2" fontId="1" fillId="0" borderId="5" xfId="0" applyNumberFormat="1" applyFont="1" applyBorder="1" applyAlignment="1">
      <alignment horizontal="center" wrapText="1"/>
    </xf>
    <xf numFmtId="2" fontId="0" fillId="4" borderId="1" xfId="0" applyNumberFormat="1" applyFill="1" applyBorder="1" applyAlignment="1">
      <alignment horizontal="center"/>
    </xf>
    <xf numFmtId="2" fontId="0" fillId="4" borderId="0" xfId="0" applyNumberFormat="1" applyFill="1"/>
    <xf numFmtId="2" fontId="4" fillId="5" borderId="5" xfId="0" applyNumberFormat="1" applyFont="1" applyFill="1" applyBorder="1" applyAlignment="1">
      <alignment horizontal="center" wrapText="1"/>
    </xf>
    <xf numFmtId="2" fontId="0" fillId="3" borderId="8" xfId="0" applyNumberFormat="1" applyFill="1" applyBorder="1" applyAlignment="1">
      <alignment horizontal="center"/>
    </xf>
    <xf numFmtId="2" fontId="0" fillId="3" borderId="0" xfId="0" applyNumberFormat="1" applyFill="1"/>
    <xf numFmtId="2" fontId="1" fillId="4" borderId="5" xfId="0" applyNumberFormat="1" applyFont="1" applyFill="1" applyBorder="1" applyAlignment="1">
      <alignment horizontal="center"/>
    </xf>
    <xf numFmtId="2" fontId="1" fillId="5" borderId="6" xfId="0" applyNumberFormat="1" applyFont="1" applyFill="1" applyBorder="1" applyAlignment="1">
      <alignment horizontal="center"/>
    </xf>
    <xf numFmtId="2" fontId="0" fillId="5" borderId="3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2" fontId="0" fillId="5" borderId="0" xfId="0" applyNumberFormat="1" applyFill="1"/>
    <xf numFmtId="49" fontId="1" fillId="0" borderId="5" xfId="0" applyNumberFormat="1" applyFont="1" applyBorder="1" applyAlignment="1">
      <alignment horizontal="center"/>
    </xf>
    <xf numFmtId="49" fontId="1" fillId="0" borderId="5" xfId="0" applyNumberFormat="1" applyFont="1" applyBorder="1" applyAlignment="1">
      <alignment horizontal="center" wrapText="1"/>
    </xf>
    <xf numFmtId="2" fontId="0" fillId="5" borderId="0" xfId="0" applyNumberFormat="1" applyFill="1" applyAlignment="1">
      <alignment horizontal="center"/>
    </xf>
    <xf numFmtId="2" fontId="1" fillId="5" borderId="10" xfId="0" applyNumberFormat="1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2" fontId="1" fillId="6" borderId="5" xfId="0" applyNumberFormat="1" applyFont="1" applyFill="1" applyBorder="1" applyAlignment="1">
      <alignment horizontal="center" wrapText="1"/>
    </xf>
    <xf numFmtId="2" fontId="0" fillId="6" borderId="1" xfId="0" applyNumberFormat="1" applyFill="1" applyBorder="1" applyAlignment="1">
      <alignment horizontal="center"/>
    </xf>
    <xf numFmtId="2" fontId="0" fillId="6" borderId="0" xfId="0" applyNumberFormat="1" applyFill="1"/>
    <xf numFmtId="2" fontId="0" fillId="2" borderId="0" xfId="0" applyNumberFormat="1" applyFill="1"/>
    <xf numFmtId="2" fontId="0" fillId="7" borderId="1" xfId="0" applyNumberForma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/>
    </xf>
    <xf numFmtId="2" fontId="0" fillId="7" borderId="8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/>
    <xf numFmtId="2" fontId="1" fillId="5" borderId="5" xfId="0" applyNumberFormat="1" applyFont="1" applyFill="1" applyBorder="1" applyAlignment="1">
      <alignment horizontal="center" wrapText="1"/>
    </xf>
    <xf numFmtId="2" fontId="1" fillId="5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71"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</dxf>
    <dxf>
      <numFmt numFmtId="2" formatCode="0.00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numFmt numFmtId="0" formatCode="General"/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607946D6-8979-4FFD-9498-91E820C6874F}"/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ew1" id="{22FCF73A-399E-4912-A27D-3119888C5B84}"/>
</namedSheetView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7E06909-5FB1-4093-BB80-4DD9773E6570}" autoFormatId="16" applyNumberFormats="0" applyBorderFormats="0" applyFontFormats="0" applyPatternFormats="0" applyAlignmentFormats="0" applyWidthHeightFormats="0">
  <queryTableRefresh nextId="31">
    <queryTableFields count="30">
      <queryTableField id="1" name="Sl.No" tableColumnId="1"/>
      <queryTableField id="2" name="Faculty _ID" tableColumnId="2"/>
      <queryTableField id="3" name="Name" tableColumnId="3"/>
      <queryTableField id="4" name="Designation" tableColumnId="4"/>
      <queryTableField id="5" name="Qualification" tableColumnId="5"/>
      <queryTableField id="6" name="Experience_Years" tableColumnId="6"/>
      <queryTableField id="7" name="Experience_level" tableColumnId="7"/>
      <queryTableField id="8" name="Department" tableColumnId="8"/>
      <queryTableField id="9" name="Specialization" tableColumnId="9"/>
      <queryTableField id="10" name="No_of_Subjects_Allotted" tableColumnId="10"/>
      <queryTableField id="11" name="Course_Load" tableColumnId="11"/>
      <queryTableField id="12" name="Same_subject_Different_sections" tableColumnId="12"/>
      <queryTableField id="13" name="No_of_Core_subjects" tableColumnId="13"/>
      <queryTableField id="14" name="No_of_Elective_subjects" tableColumnId="14"/>
      <queryTableField id="15" name="Class_Size" tableColumnId="15"/>
      <queryTableField id="16" name="New_Courses" tableColumnId="16"/>
      <queryTableField id="17" name="Repeat_Courses" tableColumnId="17"/>
      <queryTableField id="18" name="Classes_per_week" tableColumnId="18"/>
      <queryTableField id="19" name="Teaching_Hours" tableColumnId="19"/>
      <queryTableField id="20" name="Lab_Hours" tableColumnId="20"/>
      <queryTableField id="21" name="Tutorials_Activity" tableColumnId="21"/>
      <queryTableField id="22" name="Direct_Teaching_Hours" tableColumnId="22"/>
      <queryTableField id="23" name="Research_Hours" tableColumnId="23"/>
      <queryTableField id="24" name="Committee_Hours" tableColumnId="24"/>
      <queryTableField id="25" name="Administrative_Hours" tableColumnId="25"/>
      <queryTableField id="26" name="Projects_Mentoring" tableColumnId="26"/>
      <queryTableField id="27" name="Total_Service_Hours" tableColumnId="27"/>
      <queryTableField id="28" name="Total_Hours" tableColumnId="28"/>
      <queryTableField id="29" name="Check_Total" tableColumnId="29"/>
      <queryTableField id="30" name="Error_Flag" tableColumnId="3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D822F8-7B8B-4202-9F63-4D3187775DF9}" name="Table1" displayName="Table1" ref="A1:Z110" totalsRowShown="0" headerRowBorderDxfId="61" tableBorderDxfId="60" totalsRowBorderDxfId="59">
  <autoFilter ref="A1:Z110" xr:uid="{00D822F8-7B8B-4202-9F63-4D3187775DF9}"/>
  <tableColumns count="26">
    <tableColumn id="1" xr3:uid="{5467ED8D-2E91-453B-B51B-19B5AF744178}" name="Sl.No" dataDxfId="58"/>
    <tableColumn id="2" xr3:uid="{2542E517-5497-447E-B43D-10EE38414161}" name="Faculty ID" dataDxfId="57"/>
    <tableColumn id="3" xr3:uid="{CC78F565-B097-4555-9A92-D8A4B9723E28}" name="Name of the Faculty Member" dataDxfId="56"/>
    <tableColumn id="4" xr3:uid="{AEB856D0-0CC5-4943-BB74-EED1EDB99165}" name="Designation" dataDxfId="55"/>
    <tableColumn id="5" xr3:uid="{CECFF152-CD48-47A5-BA5B-E1CF95221EF8}" name="Qualification" dataDxfId="54"/>
    <tableColumn id="6" xr3:uid="{17BC73F6-774A-4AEE-B61E-699201397732}" name="Experience(in Years)" dataDxfId="53"/>
    <tableColumn id="7" xr3:uid="{EA70BD34-7DDE-4C0D-B534-2510B78AD354}" name="Department" dataDxfId="52"/>
    <tableColumn id="8" xr3:uid="{BD58A533-957B-47AE-8EEF-F4E886E7A936}" name="Specialization" dataDxfId="51"/>
    <tableColumn id="9" xr3:uid="{1B37EB7D-49A7-4F98-8AC9-970CDE235BDD}" name="No.of Subjects Allotted" dataDxfId="50"/>
    <tableColumn id="10" xr3:uid="{455F84CC-FC86-461F-8B70-B35F162DAB6E}" name="Same subject- Different sections" dataDxfId="49"/>
    <tableColumn id="11" xr3:uid="{B88A12F5-3CEF-4718-AC58-95E6A82B9C7C}" name="No. of Core subjects" dataDxfId="48"/>
    <tableColumn id="12" xr3:uid="{E02B4318-4A14-4B3A-BA99-55EA2EDFE16A}" name="No. of Elective subjects" dataDxfId="47"/>
    <tableColumn id="13" xr3:uid="{040FDF64-FECF-4BED-8BC5-861F643948FF}" name="Class Size" dataDxfId="46"/>
    <tableColumn id="14" xr3:uid="{7FB3441B-FBF2-4E15-82ED-2F2F0A7CDC58}" name="New Courses" dataDxfId="45"/>
    <tableColumn id="15" xr3:uid="{99D40080-659B-4C54-B3CE-4EE752018EEC}" name="Repeat Courses" dataDxfId="44"/>
    <tableColumn id="16" xr3:uid="{6AD21B10-24C5-4F65-9D1A-4949B3EC2EC9}" name="Classes per week" dataDxfId="43"/>
    <tableColumn id="17" xr3:uid="{88F3DA13-535C-4E93-B8D3-38EACE222D05}" name="No.of Teaching Hours per week" dataDxfId="42"/>
    <tableColumn id="18" xr3:uid="{5937C39B-6311-48B2-B931-8C67E02A0D66}" name="Lab Hours" dataDxfId="41"/>
    <tableColumn id="19" xr3:uid="{27AC9D04-F368-4EC9-99BA-81A3157FD11E}" name="Tutorials/Activity" dataDxfId="40"/>
    <tableColumn id="20" xr3:uid="{66230A81-9BFD-4C5E-B3AB-D4F59EC58295}" name="Total Direct Teaching Hours" dataDxfId="39"/>
    <tableColumn id="21" xr3:uid="{BB250276-D46F-49E8-A32A-C7789B04EC91}" name="Research Hours/week" dataDxfId="38"/>
    <tableColumn id="22" xr3:uid="{A7AF326F-0AFA-4325-BDB8-AD249A89C47A}" name="No.of Committee hours/week" dataDxfId="37"/>
    <tableColumn id="23" xr3:uid="{64442EE4-9FCD-4DA9-B20C-FA64562A0DFD}" name="No. of Administrative hours/week" dataDxfId="36"/>
    <tableColumn id="24" xr3:uid="{2C016809-36BC-4BCD-8213-D5039A43C3C1}" name="Projects/Mentoring" dataDxfId="35"/>
    <tableColumn id="25" xr3:uid="{907D8C33-6149-4985-9F12-E528365AB893}" name="Total Service Hours" dataDxfId="34">
      <calculatedColumnFormula>SUM(V2:X2)</calculatedColumnFormula>
    </tableColumn>
    <tableColumn id="26" xr3:uid="{F6815FF5-DB01-4716-9C6B-775CF141E0F1}" name="Total hours/Week" dataDxfId="33">
      <calculatedColumnFormula>SUM(T2,U2,Y2)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DFF8B3-CA5D-4F55-B96E-9F7E0BEF8E30}" name="Faculty_Clean_Data_1" displayName="Faculty_Clean_Data_1" ref="A1:AD110" tableType="queryTable" totalsRowShown="0">
  <autoFilter ref="A1:AD110" xr:uid="{A0DFF8B3-CA5D-4F55-B96E-9F7E0BEF8E30}"/>
  <tableColumns count="30">
    <tableColumn id="1" xr3:uid="{276D3216-E496-4780-A127-C1460300BBB2}" uniqueName="1" name="Sl.No" queryTableFieldId="1"/>
    <tableColumn id="2" xr3:uid="{D55FD79B-BE86-47E5-A768-D26D79D960C1}" uniqueName="2" name="Faculty _ID" queryTableFieldId="2" dataDxfId="70"/>
    <tableColumn id="3" xr3:uid="{EAFD933C-01D9-425B-B4F6-21AC84313A78}" uniqueName="3" name="Name" queryTableFieldId="3" dataDxfId="69"/>
    <tableColumn id="4" xr3:uid="{27BDFD03-7D17-4149-87E3-90760B4837F3}" uniqueName="4" name="Designation" queryTableFieldId="4" dataDxfId="68"/>
    <tableColumn id="5" xr3:uid="{CB7DD697-EC15-48FF-B92F-25E63885F698}" uniqueName="5" name="Qualification" queryTableFieldId="5" dataDxfId="67"/>
    <tableColumn id="6" xr3:uid="{81BEC5C1-8FD6-4499-B9E3-0FEC10D227F0}" uniqueName="6" name="Experience_Years" queryTableFieldId="6"/>
    <tableColumn id="7" xr3:uid="{2A97FEC2-5906-490B-AC66-FA7963C94803}" uniqueName="7" name="Experience_level" queryTableFieldId="7" dataDxfId="66"/>
    <tableColumn id="8" xr3:uid="{9F4BE4DC-44E4-4F34-B944-8CCD3F07ED30}" uniqueName="8" name="Department" queryTableFieldId="8" dataDxfId="65"/>
    <tableColumn id="9" xr3:uid="{074E9A88-8990-41E9-B2E7-2FBA8210CE33}" uniqueName="9" name="Specialization" queryTableFieldId="9" dataDxfId="64"/>
    <tableColumn id="10" xr3:uid="{79C91FB7-9A46-490C-AA3E-15BC3B9C6F34}" uniqueName="10" name="No_of_Subjects_Allotted" queryTableFieldId="10"/>
    <tableColumn id="11" xr3:uid="{9EEE5AED-DE04-4333-AD69-05014E5C407B}" uniqueName="11" name="Course_Load" queryTableFieldId="11" dataDxfId="63"/>
    <tableColumn id="12" xr3:uid="{97BFE1E2-7CED-4348-91A5-0EF56CE24BDA}" uniqueName="12" name="Same_subject_Different_sections" queryTableFieldId="12"/>
    <tableColumn id="13" xr3:uid="{D2B5C235-AD56-43E4-8CBA-372CA9FD3A5D}" uniqueName="13" name="No_of_Core_subjects" queryTableFieldId="13"/>
    <tableColumn id="14" xr3:uid="{073A97FC-85E3-4053-8159-9AB0DA78BF6B}" uniqueName="14" name="No_of_Elective_subjects" queryTableFieldId="14"/>
    <tableColumn id="15" xr3:uid="{B400147B-BBDF-4C16-83C1-077C52AEB4CE}" uniqueName="15" name="Class_Size" queryTableFieldId="15"/>
    <tableColumn id="16" xr3:uid="{322452B2-1E41-445A-BC83-C1977E5794E0}" uniqueName="16" name="New_Courses" queryTableFieldId="16"/>
    <tableColumn id="17" xr3:uid="{106A51FA-DF8E-4FA7-AAE2-E19AD2A07479}" uniqueName="17" name="Repeat_Courses" queryTableFieldId="17"/>
    <tableColumn id="18" xr3:uid="{7586B16D-64EB-4D4C-86E5-980851B519C2}" uniqueName="18" name="Classes_per_week" queryTableFieldId="18"/>
    <tableColumn id="19" xr3:uid="{01613725-3B9C-44BD-9E41-C57911D56273}" uniqueName="19" name="Teaching_Hours" queryTableFieldId="19"/>
    <tableColumn id="20" xr3:uid="{5C5E9E02-CC93-4C1B-ABAE-5905EE75DC8F}" uniqueName="20" name="Lab_Hours" queryTableFieldId="20"/>
    <tableColumn id="21" xr3:uid="{E2902CD2-ADEB-4492-AB64-A5E0BC48263E}" uniqueName="21" name="Tutorials_Activity" queryTableFieldId="21"/>
    <tableColumn id="22" xr3:uid="{E74C67B6-806D-4FA6-B5C7-175D7F9257A6}" uniqueName="22" name="Direct_Teaching_Hours" queryTableFieldId="22"/>
    <tableColumn id="23" xr3:uid="{5D092440-5F6C-401B-9E60-4108E28B9BFE}" uniqueName="23" name="Research_Hours" queryTableFieldId="23"/>
    <tableColumn id="24" xr3:uid="{CC633475-410B-4A0C-9CDD-D653B1863ABB}" uniqueName="24" name="Committee_Hours" queryTableFieldId="24"/>
    <tableColumn id="25" xr3:uid="{79E8344C-5FAA-45D4-81F1-A28FC2E4B99F}" uniqueName="25" name="Administrative_Hours" queryTableFieldId="25"/>
    <tableColumn id="26" xr3:uid="{093BF911-E2A2-48A1-9C5F-0D3C15729DB6}" uniqueName="26" name="Projects_Mentoring" queryTableFieldId="26"/>
    <tableColumn id="27" xr3:uid="{E86F27BD-80F3-48B7-8F7D-105E42804847}" uniqueName="27" name="Total_Service_Hours" queryTableFieldId="27"/>
    <tableColumn id="28" xr3:uid="{A7D8720B-1FF4-4834-B2C7-0BE3B06B01A9}" uniqueName="28" name="Total_Hours" queryTableFieldId="28"/>
    <tableColumn id="29" xr3:uid="{72B11FFF-9A2A-417F-9804-416776B0AD8C}" uniqueName="29" name="Check_Total" queryTableFieldId="29"/>
    <tableColumn id="30" xr3:uid="{5A40D99B-398A-4157-812C-0C2E5E65154F}" uniqueName="30" name="Error_Flag" queryTableFieldId="30" dataDxfId="6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9823DF-FE5D-4136-999A-9570CB10C3B0}" name="Faculty_Clean_Data" displayName="Faculty_Clean_Data" ref="A1:AD110" totalsRowShown="0" headerRowBorderDxfId="32" tableBorderDxfId="31" totalsRowBorderDxfId="30">
  <autoFilter ref="A1:AD110" xr:uid="{0D9823DF-FE5D-4136-999A-9570CB10C3B0}"/>
  <tableColumns count="30">
    <tableColumn id="1" xr3:uid="{7885695E-85A2-41DB-843A-5D0D3A2CC63C}" name="Sl.No" dataDxfId="29"/>
    <tableColumn id="2" xr3:uid="{D6B6E938-05F7-4636-B3E8-235E62C5FCFF}" name="Faculty _ID" dataDxfId="28"/>
    <tableColumn id="3" xr3:uid="{CBBEE476-5C14-41E7-B68F-B4FF89A0560C}" name="Name" dataDxfId="27"/>
    <tableColumn id="4" xr3:uid="{2EA978A3-44CD-4BE2-9D0D-FA6AFAD92334}" name="Designation" dataDxfId="26"/>
    <tableColumn id="5" xr3:uid="{0F9F0F26-D5E9-4AA6-A0B6-95B9608E8773}" name="Qualification" dataDxfId="25"/>
    <tableColumn id="6" xr3:uid="{E3D569DD-597E-44A1-8341-0138E0930D14}" name="Experience_Years" dataDxfId="24"/>
    <tableColumn id="31" xr3:uid="{37E90584-682B-4B0B-887A-DDB0DDAAAACE}" name="Experience_level" dataDxfId="23">
      <calculatedColumnFormula>IF(Faculty_Clean_Data[[#This Row],[Experience_Years]]&lt;5,"Junior",IF(Faculty_Clean_Data[[#This Row],[Experience_Years]]&gt;=15, "Senior", "Mid"))</calculatedColumnFormula>
    </tableColumn>
    <tableColumn id="7" xr3:uid="{03A6E673-DCB5-4C3C-B861-8A17F3C2D22F}" name="Department" dataDxfId="22"/>
    <tableColumn id="8" xr3:uid="{DF07DF61-6C3A-4BBC-A020-27FD7581F146}" name="Specialization" dataDxfId="21"/>
    <tableColumn id="9" xr3:uid="{0D4ED1D0-7065-402B-8446-1CA086FF297F}" name="No_of_Subjects_Allotted" dataDxfId="20"/>
    <tableColumn id="32" xr3:uid="{F9D0288A-BF53-46F2-A0CC-0018C412A01C}" name="Course_Load" dataDxfId="19">
      <calculatedColumnFormula>IF(AND(Faculty_Clean_Data[[#This Row],[No_of_Subjects_Allotted]]&gt;=2,Faculty_Clean_Data[[#This Row],[Same_subject_Different_sections]]=1,Faculty_Clean_Data[[#This Row],[Class_Size]]&gt;=3),"High Load","Low Load")</calculatedColumnFormula>
    </tableColumn>
    <tableColumn id="10" xr3:uid="{25774C4F-3590-44E5-BFCB-9816B5B224FC}" name="Same_subject_Different_sections" dataDxfId="18"/>
    <tableColumn id="11" xr3:uid="{B1E4DFE4-120E-458C-B7DC-24B547D2A2FB}" name="No_of_Core_subjects" dataDxfId="17"/>
    <tableColumn id="12" xr3:uid="{2F05143B-ABDC-4FFC-B71B-D2B1A25AAD53}" name="No_of_Elective_subjects" dataDxfId="16"/>
    <tableColumn id="13" xr3:uid="{139678BE-8A86-4CB5-896E-8EF627FE66B6}" name="Class_Size" dataDxfId="15"/>
    <tableColumn id="14" xr3:uid="{F2CE8E2E-B2CF-4B2A-9D81-5CCD2169FB6A}" name="New_Courses" dataDxfId="14"/>
    <tableColumn id="15" xr3:uid="{4C27CE1D-6346-4EFE-A95A-55E9E5C5EACC}" name="Repeat_Courses" dataDxfId="13"/>
    <tableColumn id="16" xr3:uid="{277E8272-7F54-4157-99EC-4E8F94C47A1C}" name="Classes_per_week" dataDxfId="12"/>
    <tableColumn id="17" xr3:uid="{224B1BC2-011D-48CC-8117-6203B4D9DA5B}" name="Teaching_Hours" dataDxfId="11"/>
    <tableColumn id="18" xr3:uid="{74B90C64-FD32-451C-BD1C-D532E6982725}" name="Lab_Hours" dataDxfId="10"/>
    <tableColumn id="19" xr3:uid="{693D7184-D8E6-47D7-BE6B-AECC91D8DAA7}" name="Tutorials_Activity" dataDxfId="9"/>
    <tableColumn id="20" xr3:uid="{FECA9D98-E845-41BF-B0C5-455EB4258C0B}" name="Direct_Teaching_Hours" dataDxfId="8"/>
    <tableColumn id="21" xr3:uid="{150E8D1C-ECCF-4B60-ACF6-2A86F3E55623}" name="Research_Hours" dataDxfId="7"/>
    <tableColumn id="22" xr3:uid="{48E61C91-97A1-4BE5-A2A9-9A45C94068AB}" name="Committee_Hours" dataDxfId="6"/>
    <tableColumn id="23" xr3:uid="{30C8960E-59D4-4E98-9F77-E3FC227D6B57}" name="Administrative_Hours" dataDxfId="5"/>
    <tableColumn id="24" xr3:uid="{88A51672-E8D5-4C07-868C-8854DC5794D4}" name="Projects_Mentoring" dataDxfId="4"/>
    <tableColumn id="25" xr3:uid="{E2915745-9F14-4B31-9B1C-4972DF3C53EA}" name="Total_Service_Hours" dataDxfId="3">
      <calculatedColumnFormula>SUM(X2:Z2)</calculatedColumnFormula>
    </tableColumn>
    <tableColumn id="26" xr3:uid="{82FDBF4A-FE0A-450B-90FF-5D913B93904C}" name="Total_Hours" dataDxfId="2">
      <calculatedColumnFormula>SUM(V2,W2,AA2)</calculatedColumnFormula>
    </tableColumn>
    <tableColumn id="29" xr3:uid="{5444E122-2360-44BC-9A48-D18BF798B197}" name="Check_Total" dataDxfId="1">
      <calculatedColumnFormula>Faculty_Clean_Data[[#This Row],[Direct_Teaching_Hours]]+Faculty_Clean_Data[[#This Row],[Research_Hours]]+Faculty_Clean_Data[[#This Row],[Committee_Hours]]+Faculty_Clean_Data[[#This Row],[Administrative_Hours]]+Faculty_Clean_Data[[#This Row],[Projects_Mentoring]]</calculatedColumnFormula>
    </tableColumn>
    <tableColumn id="30" xr3:uid="{4EB769E9-5790-4E87-8B0F-D4602658D00D}" name="Error_Flag" dataDxfId="0">
      <calculatedColumnFormula>_xleta.IF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10"/>
  <sheetViews>
    <sheetView topLeftCell="B1" workbookViewId="0">
      <selection activeCell="Z100" sqref="Z100"/>
    </sheetView>
  </sheetViews>
  <sheetFormatPr defaultRowHeight="15" x14ac:dyDescent="0.25"/>
  <cols>
    <col min="2" max="2" width="11.7109375" customWidth="1"/>
    <col min="3" max="3" width="30.28515625" bestFit="1" customWidth="1"/>
    <col min="4" max="4" width="13.7109375" style="19" customWidth="1"/>
    <col min="5" max="5" width="14.5703125" customWidth="1"/>
    <col min="6" max="6" width="21.42578125" customWidth="1"/>
    <col min="7" max="7" width="21.140625" bestFit="1" customWidth="1"/>
    <col min="8" max="8" width="17.28515625" bestFit="1" customWidth="1"/>
    <col min="9" max="9" width="23.7109375" customWidth="1"/>
    <col min="10" max="10" width="31.85546875" customWidth="1"/>
    <col min="11" max="11" width="20.85546875" customWidth="1"/>
    <col min="12" max="12" width="23.7109375" customWidth="1"/>
    <col min="13" max="13" width="12.140625" customWidth="1"/>
    <col min="14" max="14" width="14.7109375" customWidth="1"/>
    <col min="15" max="15" width="16.85546875" customWidth="1"/>
    <col min="16" max="16" width="18.28515625" customWidth="1"/>
    <col min="17" max="17" width="30.7109375" customWidth="1"/>
    <col min="18" max="18" width="11.7109375" customWidth="1"/>
    <col min="19" max="19" width="18.42578125" customWidth="1"/>
    <col min="20" max="20" width="27.140625" style="12" customWidth="1"/>
    <col min="21" max="21" width="22.42578125" customWidth="1"/>
    <col min="22" max="22" width="29.7109375" style="7" customWidth="1"/>
    <col min="23" max="23" width="33.28515625" customWidth="1"/>
    <col min="24" max="24" width="20.5703125" customWidth="1"/>
    <col min="25" max="25" width="19.85546875" style="12" customWidth="1"/>
    <col min="26" max="26" width="19.7109375" style="13" customWidth="1"/>
  </cols>
  <sheetData>
    <row r="1" spans="1:26" s="8" customFormat="1" x14ac:dyDescent="0.25">
      <c r="A1" s="22" t="s">
        <v>119</v>
      </c>
      <c r="B1" s="23" t="s">
        <v>0</v>
      </c>
      <c r="C1" s="23" t="s">
        <v>284</v>
      </c>
      <c r="D1" s="24" t="s">
        <v>1</v>
      </c>
      <c r="E1" s="23" t="s">
        <v>4</v>
      </c>
      <c r="F1" s="23" t="s">
        <v>285</v>
      </c>
      <c r="G1" s="23" t="s">
        <v>2</v>
      </c>
      <c r="H1" s="23" t="s">
        <v>3</v>
      </c>
      <c r="I1" s="24" t="s">
        <v>134</v>
      </c>
      <c r="J1" s="24" t="s">
        <v>123</v>
      </c>
      <c r="K1" s="24" t="s">
        <v>124</v>
      </c>
      <c r="L1" s="24" t="s">
        <v>125</v>
      </c>
      <c r="M1" s="24" t="s">
        <v>9</v>
      </c>
      <c r="N1" s="24" t="s">
        <v>8</v>
      </c>
      <c r="O1" s="24" t="s">
        <v>7</v>
      </c>
      <c r="P1" s="24" t="s">
        <v>10</v>
      </c>
      <c r="Q1" s="24" t="s">
        <v>6</v>
      </c>
      <c r="R1" s="23" t="s">
        <v>5</v>
      </c>
      <c r="S1" s="23" t="s">
        <v>156</v>
      </c>
      <c r="T1" s="25" t="s">
        <v>120</v>
      </c>
      <c r="U1" s="24" t="s">
        <v>271</v>
      </c>
      <c r="V1" s="35" t="s">
        <v>272</v>
      </c>
      <c r="W1" s="24" t="s">
        <v>270</v>
      </c>
      <c r="X1" s="23" t="s">
        <v>11</v>
      </c>
      <c r="Y1" s="26" t="s">
        <v>286</v>
      </c>
      <c r="Z1" s="27" t="s">
        <v>12</v>
      </c>
    </row>
    <row r="2" spans="1:26" ht="19.5" customHeight="1" x14ac:dyDescent="0.25">
      <c r="A2" s="20">
        <v>1</v>
      </c>
      <c r="B2" s="1" t="s">
        <v>161</v>
      </c>
      <c r="C2" s="4" t="s">
        <v>274</v>
      </c>
      <c r="D2" s="4" t="s">
        <v>13</v>
      </c>
      <c r="E2" s="4" t="s">
        <v>37</v>
      </c>
      <c r="F2" s="14">
        <v>31</v>
      </c>
      <c r="G2" s="1" t="s">
        <v>144</v>
      </c>
      <c r="H2" s="1" t="s">
        <v>140</v>
      </c>
      <c r="I2" s="2">
        <v>2</v>
      </c>
      <c r="J2" s="2">
        <v>0</v>
      </c>
      <c r="K2" s="2">
        <v>1</v>
      </c>
      <c r="L2" s="2">
        <v>1</v>
      </c>
      <c r="M2" s="2">
        <v>2</v>
      </c>
      <c r="N2" s="2">
        <v>0</v>
      </c>
      <c r="O2" s="2">
        <v>1</v>
      </c>
      <c r="P2" s="2">
        <v>8</v>
      </c>
      <c r="Q2" s="2">
        <v>8</v>
      </c>
      <c r="R2" s="2">
        <v>0</v>
      </c>
      <c r="S2" s="2">
        <v>3</v>
      </c>
      <c r="T2" s="11">
        <v>11</v>
      </c>
      <c r="U2" s="2">
        <v>5</v>
      </c>
      <c r="V2" s="10">
        <v>8</v>
      </c>
      <c r="W2" s="2">
        <v>2</v>
      </c>
      <c r="X2" s="2">
        <v>3</v>
      </c>
      <c r="Y2" s="11">
        <f t="shared" ref="Y2:Y65" si="0">SUM(V2:X2)</f>
        <v>13</v>
      </c>
      <c r="Z2" s="21">
        <f t="shared" ref="Z2:Z33" si="1">SUM(T2,U2,Y2)</f>
        <v>29</v>
      </c>
    </row>
    <row r="3" spans="1:26" ht="34.5" customHeight="1" x14ac:dyDescent="0.25">
      <c r="A3" s="20">
        <v>2</v>
      </c>
      <c r="B3" s="1" t="s">
        <v>162</v>
      </c>
      <c r="C3" s="4" t="s">
        <v>14</v>
      </c>
      <c r="D3" s="4" t="s">
        <v>15</v>
      </c>
      <c r="E3" s="4" t="s">
        <v>37</v>
      </c>
      <c r="F3" s="14">
        <v>6.916666666666667</v>
      </c>
      <c r="G3" s="1" t="s">
        <v>144</v>
      </c>
      <c r="H3" s="1" t="s">
        <v>151</v>
      </c>
      <c r="I3" s="2">
        <v>2</v>
      </c>
      <c r="J3" s="2">
        <v>0</v>
      </c>
      <c r="K3" s="2">
        <v>1</v>
      </c>
      <c r="L3" s="2">
        <v>1</v>
      </c>
      <c r="M3" s="2">
        <v>1.6</v>
      </c>
      <c r="N3" s="2">
        <v>1</v>
      </c>
      <c r="O3" s="2">
        <v>1</v>
      </c>
      <c r="P3" s="2">
        <v>6</v>
      </c>
      <c r="Q3" s="2">
        <v>6</v>
      </c>
      <c r="R3" s="2">
        <v>0</v>
      </c>
      <c r="S3" s="2">
        <v>1</v>
      </c>
      <c r="T3" s="11">
        <v>7</v>
      </c>
      <c r="U3" s="2">
        <v>3</v>
      </c>
      <c r="V3" s="10">
        <v>6</v>
      </c>
      <c r="W3" s="2">
        <v>2</v>
      </c>
      <c r="X3" s="2">
        <v>3</v>
      </c>
      <c r="Y3" s="11">
        <f t="shared" si="0"/>
        <v>11</v>
      </c>
      <c r="Z3" s="21">
        <f t="shared" si="1"/>
        <v>21</v>
      </c>
    </row>
    <row r="4" spans="1:26" ht="75" x14ac:dyDescent="0.25">
      <c r="A4" s="20">
        <v>3</v>
      </c>
      <c r="B4" s="1" t="s">
        <v>163</v>
      </c>
      <c r="C4" s="4" t="s">
        <v>16</v>
      </c>
      <c r="D4" s="4" t="s">
        <v>17</v>
      </c>
      <c r="E4" s="4" t="s">
        <v>37</v>
      </c>
      <c r="F4" s="9">
        <v>36</v>
      </c>
      <c r="G4" s="1" t="s">
        <v>144</v>
      </c>
      <c r="H4" s="1" t="s">
        <v>152</v>
      </c>
      <c r="I4" s="2">
        <v>2</v>
      </c>
      <c r="J4" s="2">
        <v>1</v>
      </c>
      <c r="K4" s="2">
        <v>1</v>
      </c>
      <c r="L4" s="2">
        <v>0</v>
      </c>
      <c r="M4" s="2">
        <v>2</v>
      </c>
      <c r="N4" s="2">
        <v>0</v>
      </c>
      <c r="O4" s="2">
        <v>1</v>
      </c>
      <c r="P4" s="2">
        <v>2</v>
      </c>
      <c r="Q4" s="2">
        <v>2</v>
      </c>
      <c r="R4" s="2">
        <v>0</v>
      </c>
      <c r="S4" s="2">
        <v>0</v>
      </c>
      <c r="T4" s="11">
        <v>2</v>
      </c>
      <c r="U4" s="2">
        <v>5</v>
      </c>
      <c r="V4" s="10">
        <v>2</v>
      </c>
      <c r="W4" s="2">
        <v>8</v>
      </c>
      <c r="X4" s="2">
        <v>1</v>
      </c>
      <c r="Y4" s="11">
        <f t="shared" si="0"/>
        <v>11</v>
      </c>
      <c r="Z4" s="21">
        <f t="shared" si="1"/>
        <v>18</v>
      </c>
    </row>
    <row r="5" spans="1:26" ht="30" x14ac:dyDescent="0.25">
      <c r="A5" s="20">
        <v>4</v>
      </c>
      <c r="B5" s="1" t="s">
        <v>164</v>
      </c>
      <c r="C5" s="4" t="s">
        <v>19</v>
      </c>
      <c r="D5" s="4" t="s">
        <v>15</v>
      </c>
      <c r="E5" s="4" t="s">
        <v>38</v>
      </c>
      <c r="F5" s="14">
        <v>8.1666666666666661</v>
      </c>
      <c r="G5" s="1" t="s">
        <v>144</v>
      </c>
      <c r="H5" s="1" t="s">
        <v>140</v>
      </c>
      <c r="I5" s="2">
        <v>1</v>
      </c>
      <c r="J5" s="2">
        <v>1</v>
      </c>
      <c r="K5" s="2">
        <v>1</v>
      </c>
      <c r="L5" s="2">
        <v>0</v>
      </c>
      <c r="M5" s="2">
        <v>2</v>
      </c>
      <c r="N5" s="2">
        <v>0</v>
      </c>
      <c r="O5" s="2">
        <v>1</v>
      </c>
      <c r="P5" s="2">
        <v>8</v>
      </c>
      <c r="Q5" s="2">
        <v>8</v>
      </c>
      <c r="R5" s="2">
        <v>0</v>
      </c>
      <c r="S5" s="2">
        <v>2</v>
      </c>
      <c r="T5" s="11">
        <v>10</v>
      </c>
      <c r="U5" s="2">
        <v>3</v>
      </c>
      <c r="V5" s="10">
        <v>2</v>
      </c>
      <c r="W5" s="2">
        <v>2</v>
      </c>
      <c r="X5" s="2">
        <v>1</v>
      </c>
      <c r="Y5" s="11">
        <f t="shared" si="0"/>
        <v>5</v>
      </c>
      <c r="Z5" s="21">
        <f t="shared" si="1"/>
        <v>18</v>
      </c>
    </row>
    <row r="6" spans="1:26" ht="30" x14ac:dyDescent="0.25">
      <c r="A6" s="20">
        <v>5</v>
      </c>
      <c r="B6" s="1" t="s">
        <v>166</v>
      </c>
      <c r="C6" s="4" t="s">
        <v>20</v>
      </c>
      <c r="D6" s="4" t="s">
        <v>18</v>
      </c>
      <c r="E6" s="4" t="s">
        <v>38</v>
      </c>
      <c r="F6" s="14">
        <v>6.916666666666667</v>
      </c>
      <c r="G6" s="1" t="s">
        <v>144</v>
      </c>
      <c r="H6" s="1" t="s">
        <v>151</v>
      </c>
      <c r="I6" s="2">
        <v>2</v>
      </c>
      <c r="J6" s="2">
        <v>1</v>
      </c>
      <c r="K6" s="2">
        <v>1</v>
      </c>
      <c r="L6" s="2">
        <v>1</v>
      </c>
      <c r="M6" s="2">
        <v>2.2000000000000002</v>
      </c>
      <c r="N6" s="2">
        <v>0</v>
      </c>
      <c r="O6" s="2">
        <v>1</v>
      </c>
      <c r="P6" s="2">
        <v>10</v>
      </c>
      <c r="Q6" s="2">
        <v>10</v>
      </c>
      <c r="R6" s="2">
        <v>0</v>
      </c>
      <c r="S6" s="2">
        <v>1</v>
      </c>
      <c r="T6" s="11">
        <v>11</v>
      </c>
      <c r="U6" s="2">
        <v>1</v>
      </c>
      <c r="V6" s="10">
        <v>2</v>
      </c>
      <c r="W6" s="2">
        <v>2</v>
      </c>
      <c r="X6" s="2">
        <v>1</v>
      </c>
      <c r="Y6" s="11">
        <f t="shared" si="0"/>
        <v>5</v>
      </c>
      <c r="Z6" s="21">
        <f t="shared" si="1"/>
        <v>17</v>
      </c>
    </row>
    <row r="7" spans="1:26" ht="30" x14ac:dyDescent="0.25">
      <c r="A7" s="20">
        <v>6</v>
      </c>
      <c r="B7" s="1" t="s">
        <v>165</v>
      </c>
      <c r="C7" s="4" t="s">
        <v>21</v>
      </c>
      <c r="D7" s="4" t="s">
        <v>18</v>
      </c>
      <c r="E7" s="4" t="s">
        <v>38</v>
      </c>
      <c r="F7" s="14">
        <v>4.416666666666667</v>
      </c>
      <c r="G7" s="1" t="s">
        <v>144</v>
      </c>
      <c r="H7" s="1" t="s">
        <v>152</v>
      </c>
      <c r="I7" s="2">
        <v>2</v>
      </c>
      <c r="J7" s="2">
        <v>0</v>
      </c>
      <c r="K7" s="2">
        <v>1</v>
      </c>
      <c r="L7" s="2">
        <v>1</v>
      </c>
      <c r="M7" s="2">
        <v>1.08</v>
      </c>
      <c r="N7" s="2">
        <v>0</v>
      </c>
      <c r="O7" s="2">
        <v>1</v>
      </c>
      <c r="P7" s="2">
        <v>7</v>
      </c>
      <c r="Q7" s="2">
        <v>7</v>
      </c>
      <c r="R7" s="2">
        <v>0</v>
      </c>
      <c r="S7" s="2">
        <v>2</v>
      </c>
      <c r="T7" s="11">
        <v>9</v>
      </c>
      <c r="U7" s="2">
        <v>1</v>
      </c>
      <c r="V7" s="10">
        <v>5.5</v>
      </c>
      <c r="W7" s="2">
        <v>2</v>
      </c>
      <c r="X7" s="2">
        <v>3</v>
      </c>
      <c r="Y7" s="11">
        <f t="shared" si="0"/>
        <v>10.5</v>
      </c>
      <c r="Z7" s="21">
        <f t="shared" si="1"/>
        <v>20.5</v>
      </c>
    </row>
    <row r="8" spans="1:26" ht="30" x14ac:dyDescent="0.25">
      <c r="A8" s="20">
        <v>7</v>
      </c>
      <c r="B8" s="1" t="s">
        <v>167</v>
      </c>
      <c r="C8" s="4" t="s">
        <v>22</v>
      </c>
      <c r="D8" s="4" t="s">
        <v>18</v>
      </c>
      <c r="E8" s="4" t="s">
        <v>38</v>
      </c>
      <c r="F8" s="14">
        <v>3.0833333333333335</v>
      </c>
      <c r="G8" s="1" t="s">
        <v>144</v>
      </c>
      <c r="H8" s="1" t="s">
        <v>151</v>
      </c>
      <c r="I8" s="2">
        <v>2</v>
      </c>
      <c r="J8" s="2">
        <v>0</v>
      </c>
      <c r="K8" s="2">
        <v>1</v>
      </c>
      <c r="L8" s="2">
        <v>1</v>
      </c>
      <c r="M8" s="2">
        <v>0.54</v>
      </c>
      <c r="N8" s="2">
        <v>1</v>
      </c>
      <c r="O8" s="2">
        <v>0</v>
      </c>
      <c r="P8" s="2">
        <v>10</v>
      </c>
      <c r="Q8" s="2">
        <v>10</v>
      </c>
      <c r="R8" s="2">
        <v>0</v>
      </c>
      <c r="S8" s="2">
        <v>3</v>
      </c>
      <c r="T8" s="11">
        <v>13</v>
      </c>
      <c r="U8" s="2">
        <v>1</v>
      </c>
      <c r="V8" s="10">
        <v>3</v>
      </c>
      <c r="W8" s="2">
        <v>2</v>
      </c>
      <c r="X8" s="2">
        <v>1</v>
      </c>
      <c r="Y8" s="11">
        <f t="shared" si="0"/>
        <v>6</v>
      </c>
      <c r="Z8" s="21">
        <f t="shared" si="1"/>
        <v>20</v>
      </c>
    </row>
    <row r="9" spans="1:26" ht="30" x14ac:dyDescent="0.25">
      <c r="A9" s="20">
        <v>8</v>
      </c>
      <c r="B9" s="1" t="s">
        <v>168</v>
      </c>
      <c r="C9" s="4" t="s">
        <v>23</v>
      </c>
      <c r="D9" s="4" t="s">
        <v>15</v>
      </c>
      <c r="E9" s="4" t="s">
        <v>38</v>
      </c>
      <c r="F9" s="9">
        <v>20</v>
      </c>
      <c r="G9" s="1" t="s">
        <v>144</v>
      </c>
      <c r="H9" s="1" t="s">
        <v>152</v>
      </c>
      <c r="I9" s="2">
        <v>2</v>
      </c>
      <c r="J9" s="2">
        <v>0</v>
      </c>
      <c r="K9" s="2">
        <v>0</v>
      </c>
      <c r="L9" s="2">
        <v>2</v>
      </c>
      <c r="M9" s="2">
        <v>0.38</v>
      </c>
      <c r="N9" s="2">
        <v>0</v>
      </c>
      <c r="O9" s="2">
        <v>1</v>
      </c>
      <c r="P9" s="2">
        <v>8</v>
      </c>
      <c r="Q9" s="2">
        <v>8</v>
      </c>
      <c r="R9" s="2">
        <v>0</v>
      </c>
      <c r="S9" s="2">
        <v>2</v>
      </c>
      <c r="T9" s="11">
        <v>10</v>
      </c>
      <c r="U9" s="2">
        <v>3</v>
      </c>
      <c r="V9" s="10">
        <v>9</v>
      </c>
      <c r="W9" s="2">
        <v>7</v>
      </c>
      <c r="X9" s="2">
        <v>3</v>
      </c>
      <c r="Y9" s="11">
        <f t="shared" si="0"/>
        <v>19</v>
      </c>
      <c r="Z9" s="21">
        <f t="shared" si="1"/>
        <v>32</v>
      </c>
    </row>
    <row r="10" spans="1:26" ht="30" x14ac:dyDescent="0.25">
      <c r="A10" s="20">
        <v>9</v>
      </c>
      <c r="B10" s="1" t="s">
        <v>169</v>
      </c>
      <c r="C10" s="4" t="s">
        <v>273</v>
      </c>
      <c r="D10" s="4" t="s">
        <v>15</v>
      </c>
      <c r="E10" s="4" t="s">
        <v>37</v>
      </c>
      <c r="F10" s="9">
        <v>20</v>
      </c>
      <c r="G10" s="1" t="s">
        <v>144</v>
      </c>
      <c r="H10" s="1" t="s">
        <v>140</v>
      </c>
      <c r="I10" s="2">
        <v>2</v>
      </c>
      <c r="J10" s="2">
        <v>0</v>
      </c>
      <c r="K10" s="2">
        <v>1</v>
      </c>
      <c r="L10" s="2">
        <v>1</v>
      </c>
      <c r="M10" s="2">
        <v>2</v>
      </c>
      <c r="N10" s="2">
        <v>1</v>
      </c>
      <c r="O10" s="2">
        <v>0</v>
      </c>
      <c r="P10" s="2">
        <v>8</v>
      </c>
      <c r="Q10" s="2">
        <v>8</v>
      </c>
      <c r="R10" s="2">
        <v>0</v>
      </c>
      <c r="S10" s="2">
        <v>1</v>
      </c>
      <c r="T10" s="11">
        <v>9</v>
      </c>
      <c r="U10" s="2">
        <v>3</v>
      </c>
      <c r="V10" s="10">
        <v>8</v>
      </c>
      <c r="W10" s="2">
        <v>6</v>
      </c>
      <c r="X10" s="2">
        <v>3</v>
      </c>
      <c r="Y10" s="11">
        <f t="shared" si="0"/>
        <v>17</v>
      </c>
      <c r="Z10" s="21">
        <f t="shared" si="1"/>
        <v>29</v>
      </c>
    </row>
    <row r="11" spans="1:26" ht="30" x14ac:dyDescent="0.25">
      <c r="A11" s="20">
        <v>10</v>
      </c>
      <c r="B11" s="1" t="s">
        <v>170</v>
      </c>
      <c r="C11" s="4" t="s">
        <v>24</v>
      </c>
      <c r="D11" s="4" t="s">
        <v>18</v>
      </c>
      <c r="E11" s="4" t="s">
        <v>38</v>
      </c>
      <c r="F11" s="14">
        <v>6.25</v>
      </c>
      <c r="G11" s="1" t="s">
        <v>144</v>
      </c>
      <c r="H11" s="1" t="s">
        <v>140</v>
      </c>
      <c r="I11" s="2">
        <v>1</v>
      </c>
      <c r="J11" s="2">
        <v>1</v>
      </c>
      <c r="K11" s="2">
        <v>1</v>
      </c>
      <c r="L11" s="2">
        <v>0</v>
      </c>
      <c r="M11" s="2">
        <v>2</v>
      </c>
      <c r="N11" s="2">
        <v>0</v>
      </c>
      <c r="O11" s="2">
        <v>1</v>
      </c>
      <c r="P11" s="2">
        <v>8</v>
      </c>
      <c r="Q11" s="2">
        <v>8</v>
      </c>
      <c r="R11" s="2">
        <v>0</v>
      </c>
      <c r="S11" s="2">
        <v>2</v>
      </c>
      <c r="T11" s="11">
        <v>10</v>
      </c>
      <c r="U11" s="2">
        <v>1</v>
      </c>
      <c r="V11" s="10">
        <v>2</v>
      </c>
      <c r="W11" s="2">
        <v>2</v>
      </c>
      <c r="X11" s="2">
        <v>1</v>
      </c>
      <c r="Y11" s="11">
        <f t="shared" si="0"/>
        <v>5</v>
      </c>
      <c r="Z11" s="21">
        <f t="shared" si="1"/>
        <v>16</v>
      </c>
    </row>
    <row r="12" spans="1:26" ht="30" x14ac:dyDescent="0.25">
      <c r="A12" s="20">
        <v>11</v>
      </c>
      <c r="B12" s="1" t="s">
        <v>171</v>
      </c>
      <c r="C12" s="4" t="s">
        <v>25</v>
      </c>
      <c r="D12" s="4" t="s">
        <v>18</v>
      </c>
      <c r="E12" s="4" t="s">
        <v>38</v>
      </c>
      <c r="F12" s="14">
        <v>8.25</v>
      </c>
      <c r="G12" s="1" t="s">
        <v>144</v>
      </c>
      <c r="H12" s="1" t="s">
        <v>151</v>
      </c>
      <c r="I12" s="2">
        <v>2</v>
      </c>
      <c r="J12" s="2">
        <v>0</v>
      </c>
      <c r="K12" s="2">
        <v>2</v>
      </c>
      <c r="L12" s="2">
        <v>0</v>
      </c>
      <c r="M12" s="2">
        <v>2</v>
      </c>
      <c r="N12" s="2">
        <v>0</v>
      </c>
      <c r="O12" s="2">
        <v>0</v>
      </c>
      <c r="P12" s="2">
        <v>8</v>
      </c>
      <c r="Q12" s="2">
        <v>8</v>
      </c>
      <c r="R12" s="2">
        <v>0</v>
      </c>
      <c r="S12" s="2">
        <v>2</v>
      </c>
      <c r="T12" s="11">
        <v>10</v>
      </c>
      <c r="U12" s="2">
        <v>1</v>
      </c>
      <c r="V12" s="10">
        <v>2</v>
      </c>
      <c r="W12" s="2">
        <v>2</v>
      </c>
      <c r="X12" s="2">
        <v>1</v>
      </c>
      <c r="Y12" s="11">
        <f t="shared" si="0"/>
        <v>5</v>
      </c>
      <c r="Z12" s="21">
        <f t="shared" si="1"/>
        <v>16</v>
      </c>
    </row>
    <row r="13" spans="1:26" ht="30" x14ac:dyDescent="0.25">
      <c r="A13" s="20">
        <v>12</v>
      </c>
      <c r="B13" s="1" t="s">
        <v>172</v>
      </c>
      <c r="C13" s="4" t="s">
        <v>26</v>
      </c>
      <c r="D13" s="4" t="s">
        <v>15</v>
      </c>
      <c r="E13" s="4" t="s">
        <v>38</v>
      </c>
      <c r="F13" s="14">
        <v>11.5</v>
      </c>
      <c r="G13" s="1" t="s">
        <v>144</v>
      </c>
      <c r="H13" s="1" t="s">
        <v>151</v>
      </c>
      <c r="I13" s="2">
        <v>2</v>
      </c>
      <c r="J13" s="2">
        <v>1</v>
      </c>
      <c r="K13" s="2">
        <v>1</v>
      </c>
      <c r="L13" s="2">
        <v>1</v>
      </c>
      <c r="M13" s="2">
        <v>2.6</v>
      </c>
      <c r="N13" s="2">
        <v>0</v>
      </c>
      <c r="O13" s="2">
        <v>1</v>
      </c>
      <c r="P13" s="2">
        <v>12</v>
      </c>
      <c r="Q13" s="2">
        <v>12</v>
      </c>
      <c r="R13" s="2">
        <v>0</v>
      </c>
      <c r="S13" s="2">
        <v>3</v>
      </c>
      <c r="T13" s="11">
        <v>15</v>
      </c>
      <c r="U13" s="2">
        <v>3</v>
      </c>
      <c r="V13" s="10">
        <v>4</v>
      </c>
      <c r="W13" s="2">
        <v>2</v>
      </c>
      <c r="X13" s="2">
        <v>3</v>
      </c>
      <c r="Y13" s="11">
        <f t="shared" si="0"/>
        <v>9</v>
      </c>
      <c r="Z13" s="21">
        <f t="shared" si="1"/>
        <v>27</v>
      </c>
    </row>
    <row r="14" spans="1:26" ht="30" x14ac:dyDescent="0.25">
      <c r="A14" s="20">
        <v>13</v>
      </c>
      <c r="B14" s="1" t="s">
        <v>173</v>
      </c>
      <c r="C14" s="4" t="s">
        <v>27</v>
      </c>
      <c r="D14" s="4" t="s">
        <v>18</v>
      </c>
      <c r="E14" s="4" t="s">
        <v>38</v>
      </c>
      <c r="F14" s="14">
        <v>4.583333333333333</v>
      </c>
      <c r="G14" s="1" t="s">
        <v>144</v>
      </c>
      <c r="H14" s="1" t="s">
        <v>140</v>
      </c>
      <c r="I14" s="2">
        <v>4</v>
      </c>
      <c r="J14" s="2">
        <v>0</v>
      </c>
      <c r="K14" s="2">
        <v>3</v>
      </c>
      <c r="L14" s="2">
        <v>1</v>
      </c>
      <c r="M14" s="2">
        <v>4.2</v>
      </c>
      <c r="N14" s="2">
        <v>0</v>
      </c>
      <c r="O14" s="2">
        <v>1</v>
      </c>
      <c r="P14" s="2">
        <v>15</v>
      </c>
      <c r="Q14" s="2">
        <v>8</v>
      </c>
      <c r="R14" s="2">
        <v>6</v>
      </c>
      <c r="S14" s="2">
        <v>1</v>
      </c>
      <c r="T14" s="11">
        <v>15</v>
      </c>
      <c r="U14" s="2">
        <v>1</v>
      </c>
      <c r="V14" s="10">
        <v>5</v>
      </c>
      <c r="W14" s="2">
        <v>2</v>
      </c>
      <c r="X14" s="2">
        <v>3</v>
      </c>
      <c r="Y14" s="11">
        <f t="shared" si="0"/>
        <v>10</v>
      </c>
      <c r="Z14" s="21">
        <f t="shared" si="1"/>
        <v>26</v>
      </c>
    </row>
    <row r="15" spans="1:26" ht="30" x14ac:dyDescent="0.25">
      <c r="A15" s="20">
        <v>14</v>
      </c>
      <c r="B15" s="1" t="s">
        <v>174</v>
      </c>
      <c r="C15" s="4" t="s">
        <v>28</v>
      </c>
      <c r="D15" s="4" t="s">
        <v>18</v>
      </c>
      <c r="E15" s="4" t="s">
        <v>38</v>
      </c>
      <c r="F15" s="14">
        <v>16</v>
      </c>
      <c r="G15" s="1" t="s">
        <v>144</v>
      </c>
      <c r="H15" s="1" t="s">
        <v>152</v>
      </c>
      <c r="I15" s="2">
        <v>2</v>
      </c>
      <c r="J15" s="2">
        <v>1</v>
      </c>
      <c r="K15" s="2">
        <v>1</v>
      </c>
      <c r="L15" s="2">
        <v>1</v>
      </c>
      <c r="M15" s="2">
        <v>2.1800000000000002</v>
      </c>
      <c r="N15" s="2">
        <v>0</v>
      </c>
      <c r="O15" s="2">
        <v>0</v>
      </c>
      <c r="P15" s="2">
        <v>12</v>
      </c>
      <c r="Q15" s="2">
        <v>12</v>
      </c>
      <c r="R15" s="2">
        <v>0</v>
      </c>
      <c r="S15" s="2">
        <v>2</v>
      </c>
      <c r="T15" s="11">
        <v>14</v>
      </c>
      <c r="U15" s="2">
        <v>1</v>
      </c>
      <c r="V15" s="10">
        <v>4</v>
      </c>
      <c r="W15" s="2">
        <v>2</v>
      </c>
      <c r="X15" s="2">
        <v>3</v>
      </c>
      <c r="Y15" s="11">
        <f t="shared" si="0"/>
        <v>9</v>
      </c>
      <c r="Z15" s="21">
        <f t="shared" si="1"/>
        <v>24</v>
      </c>
    </row>
    <row r="16" spans="1:26" ht="30" x14ac:dyDescent="0.25">
      <c r="A16" s="20">
        <v>15</v>
      </c>
      <c r="B16" s="1" t="s">
        <v>175</v>
      </c>
      <c r="C16" s="4" t="s">
        <v>153</v>
      </c>
      <c r="D16" s="4" t="s">
        <v>18</v>
      </c>
      <c r="E16" s="4" t="s">
        <v>38</v>
      </c>
      <c r="F16" s="14">
        <v>2.8333333333333335</v>
      </c>
      <c r="G16" s="1" t="s">
        <v>144</v>
      </c>
      <c r="H16" s="1" t="s">
        <v>140</v>
      </c>
      <c r="I16" s="2">
        <v>2</v>
      </c>
      <c r="J16" s="2">
        <v>1</v>
      </c>
      <c r="K16" s="2">
        <v>2</v>
      </c>
      <c r="L16" s="2">
        <v>0</v>
      </c>
      <c r="M16" s="2">
        <v>3</v>
      </c>
      <c r="N16" s="2">
        <v>1</v>
      </c>
      <c r="O16" s="2">
        <v>0</v>
      </c>
      <c r="P16" s="2">
        <v>12</v>
      </c>
      <c r="Q16" s="2">
        <v>12</v>
      </c>
      <c r="R16" s="2">
        <v>0</v>
      </c>
      <c r="S16" s="2">
        <v>2</v>
      </c>
      <c r="T16" s="11">
        <v>14</v>
      </c>
      <c r="U16" s="2">
        <v>1</v>
      </c>
      <c r="V16" s="10">
        <v>4</v>
      </c>
      <c r="W16" s="2">
        <v>2</v>
      </c>
      <c r="X16" s="2">
        <v>3</v>
      </c>
      <c r="Y16" s="11">
        <f t="shared" si="0"/>
        <v>9</v>
      </c>
      <c r="Z16" s="21">
        <f t="shared" si="1"/>
        <v>24</v>
      </c>
    </row>
    <row r="17" spans="1:26" ht="30" x14ac:dyDescent="0.25">
      <c r="A17" s="20">
        <v>16</v>
      </c>
      <c r="B17" s="1" t="s">
        <v>176</v>
      </c>
      <c r="C17" s="4" t="s">
        <v>29</v>
      </c>
      <c r="D17" s="4" t="s">
        <v>15</v>
      </c>
      <c r="E17" s="4" t="s">
        <v>37</v>
      </c>
      <c r="F17" s="14">
        <v>11</v>
      </c>
      <c r="G17" s="1" t="s">
        <v>145</v>
      </c>
      <c r="H17" s="1" t="s">
        <v>147</v>
      </c>
      <c r="I17" s="2">
        <v>1</v>
      </c>
      <c r="J17" s="2">
        <v>1</v>
      </c>
      <c r="K17" s="2">
        <v>1</v>
      </c>
      <c r="L17" s="2">
        <v>0</v>
      </c>
      <c r="M17" s="2">
        <v>4</v>
      </c>
      <c r="N17" s="2">
        <v>0</v>
      </c>
      <c r="O17" s="2">
        <v>1</v>
      </c>
      <c r="P17" s="2">
        <v>17</v>
      </c>
      <c r="Q17" s="2">
        <v>17</v>
      </c>
      <c r="R17" s="2">
        <v>0</v>
      </c>
      <c r="S17" s="2">
        <v>2</v>
      </c>
      <c r="T17" s="11">
        <v>19</v>
      </c>
      <c r="U17" s="2">
        <v>3</v>
      </c>
      <c r="V17" s="10">
        <v>3</v>
      </c>
      <c r="W17" s="2">
        <v>2</v>
      </c>
      <c r="X17" s="2">
        <v>1</v>
      </c>
      <c r="Y17" s="11">
        <f t="shared" si="0"/>
        <v>6</v>
      </c>
      <c r="Z17" s="21">
        <f t="shared" si="1"/>
        <v>28</v>
      </c>
    </row>
    <row r="18" spans="1:26" ht="30" x14ac:dyDescent="0.25">
      <c r="A18" s="20">
        <v>17</v>
      </c>
      <c r="B18" s="1" t="s">
        <v>177</v>
      </c>
      <c r="C18" s="4" t="s">
        <v>157</v>
      </c>
      <c r="D18" s="4" t="s">
        <v>18</v>
      </c>
      <c r="E18" s="4" t="s">
        <v>39</v>
      </c>
      <c r="F18" s="14">
        <v>6.166666666666667</v>
      </c>
      <c r="G18" s="1" t="s">
        <v>144</v>
      </c>
      <c r="H18" s="1" t="s">
        <v>147</v>
      </c>
      <c r="I18" s="2">
        <v>1</v>
      </c>
      <c r="J18" s="2">
        <v>1</v>
      </c>
      <c r="K18" s="2">
        <v>1</v>
      </c>
      <c r="L18" s="2">
        <v>0</v>
      </c>
      <c r="M18" s="2">
        <v>3</v>
      </c>
      <c r="N18" s="2">
        <v>0</v>
      </c>
      <c r="O18" s="2">
        <v>1</v>
      </c>
      <c r="P18" s="2">
        <v>11</v>
      </c>
      <c r="Q18" s="2">
        <v>11</v>
      </c>
      <c r="R18" s="2"/>
      <c r="S18" s="2">
        <v>3</v>
      </c>
      <c r="T18" s="11">
        <v>14</v>
      </c>
      <c r="U18" s="2">
        <v>1</v>
      </c>
      <c r="V18" s="10">
        <v>1</v>
      </c>
      <c r="W18" s="2">
        <v>2</v>
      </c>
      <c r="X18" s="2">
        <v>1</v>
      </c>
      <c r="Y18" s="11">
        <f t="shared" si="0"/>
        <v>4</v>
      </c>
      <c r="Z18" s="21">
        <f t="shared" si="1"/>
        <v>19</v>
      </c>
    </row>
    <row r="19" spans="1:26" ht="30" x14ac:dyDescent="0.25">
      <c r="A19" s="20">
        <v>18</v>
      </c>
      <c r="B19" s="1" t="s">
        <v>178</v>
      </c>
      <c r="C19" s="4" t="s">
        <v>30</v>
      </c>
      <c r="D19" s="4" t="s">
        <v>15</v>
      </c>
      <c r="E19" s="4" t="s">
        <v>40</v>
      </c>
      <c r="F19" s="14">
        <v>34</v>
      </c>
      <c r="G19" s="1" t="s">
        <v>145</v>
      </c>
      <c r="H19" s="1" t="s">
        <v>149</v>
      </c>
      <c r="I19" s="2">
        <v>1</v>
      </c>
      <c r="J19" s="2">
        <v>1</v>
      </c>
      <c r="K19" s="2">
        <v>1</v>
      </c>
      <c r="L19" s="2">
        <v>0</v>
      </c>
      <c r="M19" s="2">
        <v>1.5</v>
      </c>
      <c r="N19" s="2">
        <v>0</v>
      </c>
      <c r="O19" s="2">
        <v>1</v>
      </c>
      <c r="P19" s="2">
        <v>10</v>
      </c>
      <c r="Q19" s="2">
        <v>10</v>
      </c>
      <c r="R19" s="2">
        <v>0</v>
      </c>
      <c r="S19" s="2">
        <v>2</v>
      </c>
      <c r="T19" s="11">
        <v>12</v>
      </c>
      <c r="U19" s="2">
        <v>3</v>
      </c>
      <c r="V19" s="10">
        <v>5.5</v>
      </c>
      <c r="W19" s="2">
        <v>2</v>
      </c>
      <c r="X19" s="2">
        <v>1</v>
      </c>
      <c r="Y19" s="11">
        <f t="shared" si="0"/>
        <v>8.5</v>
      </c>
      <c r="Z19" s="21">
        <f t="shared" si="1"/>
        <v>23.5</v>
      </c>
    </row>
    <row r="20" spans="1:26" ht="30" x14ac:dyDescent="0.25">
      <c r="A20" s="20">
        <v>19</v>
      </c>
      <c r="B20" s="1" t="s">
        <v>179</v>
      </c>
      <c r="C20" s="4" t="s">
        <v>31</v>
      </c>
      <c r="D20" s="4" t="s">
        <v>18</v>
      </c>
      <c r="E20" s="4" t="s">
        <v>41</v>
      </c>
      <c r="F20" s="14">
        <v>9</v>
      </c>
      <c r="G20" s="1" t="s">
        <v>146</v>
      </c>
      <c r="H20" s="1" t="s">
        <v>148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11"/>
      <c r="U20" s="2">
        <v>1</v>
      </c>
      <c r="V20" s="10">
        <v>2</v>
      </c>
      <c r="W20" s="2">
        <v>2</v>
      </c>
      <c r="X20" s="2">
        <v>1</v>
      </c>
      <c r="Y20" s="11">
        <f t="shared" si="0"/>
        <v>5</v>
      </c>
      <c r="Z20" s="21">
        <f t="shared" si="1"/>
        <v>6</v>
      </c>
    </row>
    <row r="21" spans="1:26" ht="30" x14ac:dyDescent="0.25">
      <c r="A21" s="20">
        <v>20</v>
      </c>
      <c r="B21" s="1" t="s">
        <v>180</v>
      </c>
      <c r="C21" s="4" t="s">
        <v>32</v>
      </c>
      <c r="D21" s="4" t="s">
        <v>15</v>
      </c>
      <c r="E21" s="4" t="s">
        <v>41</v>
      </c>
      <c r="F21" s="14">
        <v>14.083333333333334</v>
      </c>
      <c r="G21" s="1" t="s">
        <v>146</v>
      </c>
      <c r="H21" s="1" t="s">
        <v>150</v>
      </c>
      <c r="I21" s="2">
        <v>1</v>
      </c>
      <c r="J21" s="2">
        <v>1</v>
      </c>
      <c r="K21" s="2">
        <v>1</v>
      </c>
      <c r="L21" s="2">
        <v>0</v>
      </c>
      <c r="M21" s="2">
        <v>3</v>
      </c>
      <c r="N21" s="2">
        <v>0</v>
      </c>
      <c r="O21" s="2">
        <v>1</v>
      </c>
      <c r="P21" s="2">
        <v>15</v>
      </c>
      <c r="Q21" s="2">
        <v>15</v>
      </c>
      <c r="R21" s="2"/>
      <c r="S21" s="2">
        <v>3</v>
      </c>
      <c r="T21" s="11">
        <v>18</v>
      </c>
      <c r="U21" s="2">
        <v>3</v>
      </c>
      <c r="V21" s="10">
        <v>6</v>
      </c>
      <c r="W21" s="2">
        <v>6</v>
      </c>
      <c r="X21" s="2">
        <v>1</v>
      </c>
      <c r="Y21" s="11">
        <f t="shared" si="0"/>
        <v>13</v>
      </c>
      <c r="Z21" s="21">
        <f t="shared" si="1"/>
        <v>34</v>
      </c>
    </row>
    <row r="22" spans="1:26" ht="30" x14ac:dyDescent="0.25">
      <c r="A22" s="20">
        <v>21</v>
      </c>
      <c r="B22" s="1" t="s">
        <v>181</v>
      </c>
      <c r="C22" s="4" t="s">
        <v>33</v>
      </c>
      <c r="D22" s="4" t="s">
        <v>15</v>
      </c>
      <c r="E22" s="4" t="s">
        <v>41</v>
      </c>
      <c r="F22" s="9">
        <v>14.083333333333334</v>
      </c>
      <c r="G22" s="1" t="s">
        <v>145</v>
      </c>
      <c r="H22" s="1" t="s">
        <v>138</v>
      </c>
      <c r="I22" s="2">
        <v>2</v>
      </c>
      <c r="J22" s="2">
        <v>1</v>
      </c>
      <c r="K22" s="2">
        <v>2</v>
      </c>
      <c r="L22" s="2">
        <v>0</v>
      </c>
      <c r="M22" s="2">
        <v>2.5</v>
      </c>
      <c r="N22" s="2">
        <v>0</v>
      </c>
      <c r="O22" s="2">
        <v>1</v>
      </c>
      <c r="P22" s="2">
        <v>15</v>
      </c>
      <c r="Q22" s="2">
        <v>15</v>
      </c>
      <c r="R22" s="2">
        <v>4</v>
      </c>
      <c r="S22" s="2">
        <v>0</v>
      </c>
      <c r="T22" s="11">
        <v>19</v>
      </c>
      <c r="U22" s="2">
        <v>3</v>
      </c>
      <c r="V22" s="10">
        <v>6</v>
      </c>
      <c r="W22" s="2">
        <v>6</v>
      </c>
      <c r="X22" s="2">
        <v>1</v>
      </c>
      <c r="Y22" s="11">
        <f t="shared" si="0"/>
        <v>13</v>
      </c>
      <c r="Z22" s="21">
        <f t="shared" si="1"/>
        <v>35</v>
      </c>
    </row>
    <row r="23" spans="1:26" ht="30" x14ac:dyDescent="0.25">
      <c r="A23" s="20">
        <v>22</v>
      </c>
      <c r="B23" s="1" t="s">
        <v>182</v>
      </c>
      <c r="C23" s="4" t="s">
        <v>34</v>
      </c>
      <c r="D23" s="4" t="s">
        <v>15</v>
      </c>
      <c r="E23" s="4" t="s">
        <v>42</v>
      </c>
      <c r="F23" s="14">
        <v>13</v>
      </c>
      <c r="G23" s="1" t="s">
        <v>145</v>
      </c>
      <c r="H23" s="1" t="s">
        <v>138</v>
      </c>
      <c r="I23" s="2">
        <v>1</v>
      </c>
      <c r="J23" s="2">
        <v>1</v>
      </c>
      <c r="K23" s="2">
        <v>1</v>
      </c>
      <c r="L23" s="2">
        <v>0</v>
      </c>
      <c r="M23" s="2">
        <v>1.5</v>
      </c>
      <c r="N23" s="2">
        <v>0</v>
      </c>
      <c r="O23" s="2">
        <v>1</v>
      </c>
      <c r="P23" s="2">
        <v>6</v>
      </c>
      <c r="Q23" s="2">
        <v>6</v>
      </c>
      <c r="R23" s="2">
        <v>6</v>
      </c>
      <c r="S23" s="2">
        <v>2</v>
      </c>
      <c r="T23" s="11">
        <v>14</v>
      </c>
      <c r="U23" s="2">
        <v>3</v>
      </c>
      <c r="V23" s="10">
        <v>3</v>
      </c>
      <c r="W23" s="2">
        <v>2</v>
      </c>
      <c r="X23" s="2">
        <v>1</v>
      </c>
      <c r="Y23" s="11">
        <f t="shared" si="0"/>
        <v>6</v>
      </c>
      <c r="Z23" s="21">
        <f t="shared" si="1"/>
        <v>23</v>
      </c>
    </row>
    <row r="24" spans="1:26" ht="30" x14ac:dyDescent="0.25">
      <c r="A24" s="20">
        <v>23</v>
      </c>
      <c r="B24" s="1" t="s">
        <v>183</v>
      </c>
      <c r="C24" s="4" t="s">
        <v>35</v>
      </c>
      <c r="D24" s="4" t="s">
        <v>15</v>
      </c>
      <c r="E24" s="4" t="s">
        <v>41</v>
      </c>
      <c r="F24" s="14">
        <v>10</v>
      </c>
      <c r="G24" s="1" t="s">
        <v>146</v>
      </c>
      <c r="H24" s="1" t="s">
        <v>138</v>
      </c>
      <c r="I24" s="2">
        <v>2</v>
      </c>
      <c r="J24" s="2">
        <v>1</v>
      </c>
      <c r="K24" s="2">
        <v>2</v>
      </c>
      <c r="L24" s="2">
        <v>0</v>
      </c>
      <c r="M24" s="2">
        <v>5</v>
      </c>
      <c r="N24" s="2">
        <v>0</v>
      </c>
      <c r="O24" s="2">
        <v>0</v>
      </c>
      <c r="P24" s="2">
        <v>21</v>
      </c>
      <c r="Q24" s="2">
        <v>21</v>
      </c>
      <c r="R24" s="2">
        <v>0</v>
      </c>
      <c r="S24" s="2">
        <v>0</v>
      </c>
      <c r="T24" s="11">
        <v>21</v>
      </c>
      <c r="U24" s="2">
        <v>3</v>
      </c>
      <c r="V24" s="10">
        <v>3</v>
      </c>
      <c r="W24" s="2">
        <v>2</v>
      </c>
      <c r="X24" s="2">
        <v>1</v>
      </c>
      <c r="Y24" s="11">
        <f t="shared" si="0"/>
        <v>6</v>
      </c>
      <c r="Z24" s="21">
        <f t="shared" si="1"/>
        <v>30</v>
      </c>
    </row>
    <row r="25" spans="1:26" ht="30" x14ac:dyDescent="0.25">
      <c r="A25" s="20">
        <v>24</v>
      </c>
      <c r="B25" s="1" t="s">
        <v>184</v>
      </c>
      <c r="C25" s="4" t="s">
        <v>36</v>
      </c>
      <c r="D25" s="4" t="s">
        <v>18</v>
      </c>
      <c r="E25" s="4" t="s">
        <v>40</v>
      </c>
      <c r="F25" s="14">
        <v>12</v>
      </c>
      <c r="G25" s="1" t="s">
        <v>145</v>
      </c>
      <c r="H25" s="1" t="s">
        <v>149</v>
      </c>
      <c r="I25" s="2">
        <v>1</v>
      </c>
      <c r="J25" s="2">
        <v>1</v>
      </c>
      <c r="K25" s="2">
        <v>1</v>
      </c>
      <c r="L25" s="2">
        <v>0</v>
      </c>
      <c r="M25" s="2">
        <v>1.5</v>
      </c>
      <c r="N25" s="2">
        <v>0</v>
      </c>
      <c r="O25" s="2">
        <v>1</v>
      </c>
      <c r="P25" s="2">
        <v>6</v>
      </c>
      <c r="Q25" s="2">
        <v>6</v>
      </c>
      <c r="R25" s="2">
        <v>6</v>
      </c>
      <c r="S25" s="2">
        <v>2</v>
      </c>
      <c r="T25" s="11">
        <v>14</v>
      </c>
      <c r="U25" s="2">
        <v>1</v>
      </c>
      <c r="V25" s="10">
        <v>2</v>
      </c>
      <c r="W25" s="2">
        <v>2</v>
      </c>
      <c r="X25" s="2">
        <v>1</v>
      </c>
      <c r="Y25" s="11">
        <f t="shared" si="0"/>
        <v>5</v>
      </c>
      <c r="Z25" s="21">
        <f t="shared" si="1"/>
        <v>20</v>
      </c>
    </row>
    <row r="26" spans="1:26" ht="30" x14ac:dyDescent="0.25">
      <c r="A26" s="20">
        <v>25</v>
      </c>
      <c r="B26" s="1" t="s">
        <v>185</v>
      </c>
      <c r="C26" s="1" t="s">
        <v>115</v>
      </c>
      <c r="D26" s="17" t="s">
        <v>18</v>
      </c>
      <c r="E26" s="1" t="s">
        <v>118</v>
      </c>
      <c r="F26" s="15">
        <v>4.333333333333333</v>
      </c>
      <c r="G26" s="1" t="s">
        <v>145</v>
      </c>
      <c r="H26" s="1" t="s">
        <v>126</v>
      </c>
      <c r="I26" s="2">
        <v>2</v>
      </c>
      <c r="J26" s="2">
        <v>1</v>
      </c>
      <c r="K26" s="2">
        <v>2</v>
      </c>
      <c r="L26" s="2">
        <v>0</v>
      </c>
      <c r="M26" s="2">
        <v>6</v>
      </c>
      <c r="N26" s="2">
        <v>0</v>
      </c>
      <c r="O26" s="2">
        <v>1</v>
      </c>
      <c r="P26" s="2">
        <v>22</v>
      </c>
      <c r="Q26" s="2">
        <v>24</v>
      </c>
      <c r="R26" s="2">
        <v>0</v>
      </c>
      <c r="S26" s="2">
        <v>0</v>
      </c>
      <c r="T26" s="11">
        <v>24</v>
      </c>
      <c r="U26" s="2">
        <v>1</v>
      </c>
      <c r="V26" s="10">
        <v>2</v>
      </c>
      <c r="W26" s="2">
        <v>2</v>
      </c>
      <c r="X26" s="2">
        <v>1</v>
      </c>
      <c r="Y26" s="11">
        <f t="shared" si="0"/>
        <v>5</v>
      </c>
      <c r="Z26" s="21">
        <f t="shared" si="1"/>
        <v>30</v>
      </c>
    </row>
    <row r="27" spans="1:26" ht="30" x14ac:dyDescent="0.25">
      <c r="A27" s="20">
        <v>26</v>
      </c>
      <c r="B27" s="1" t="s">
        <v>186</v>
      </c>
      <c r="C27" s="1" t="s">
        <v>116</v>
      </c>
      <c r="D27" s="17" t="s">
        <v>18</v>
      </c>
      <c r="E27" s="1" t="s">
        <v>114</v>
      </c>
      <c r="F27" s="15">
        <v>7</v>
      </c>
      <c r="G27" s="1" t="s">
        <v>146</v>
      </c>
      <c r="H27" s="1" t="s">
        <v>131</v>
      </c>
      <c r="I27" s="2">
        <v>1</v>
      </c>
      <c r="J27" s="2">
        <v>0</v>
      </c>
      <c r="K27" s="2">
        <v>0</v>
      </c>
      <c r="L27" s="2">
        <v>1</v>
      </c>
      <c r="M27" s="2">
        <v>1</v>
      </c>
      <c r="N27" s="2">
        <v>0</v>
      </c>
      <c r="O27" s="2">
        <v>1</v>
      </c>
      <c r="P27" s="2">
        <v>5</v>
      </c>
      <c r="Q27" s="2">
        <v>5</v>
      </c>
      <c r="R27" s="2">
        <v>3</v>
      </c>
      <c r="S27" s="2">
        <v>1</v>
      </c>
      <c r="T27" s="11">
        <v>9</v>
      </c>
      <c r="U27" s="2">
        <v>1</v>
      </c>
      <c r="V27" s="10">
        <v>2</v>
      </c>
      <c r="W27" s="2">
        <v>2</v>
      </c>
      <c r="X27" s="2">
        <v>1</v>
      </c>
      <c r="Y27" s="11">
        <f t="shared" si="0"/>
        <v>5</v>
      </c>
      <c r="Z27" s="21">
        <f t="shared" si="1"/>
        <v>15</v>
      </c>
    </row>
    <row r="28" spans="1:26" ht="30" x14ac:dyDescent="0.25">
      <c r="A28" s="20">
        <v>27</v>
      </c>
      <c r="B28" s="1" t="s">
        <v>187</v>
      </c>
      <c r="C28" s="1" t="s">
        <v>117</v>
      </c>
      <c r="D28" s="17" t="s">
        <v>18</v>
      </c>
      <c r="E28" s="1" t="s">
        <v>114</v>
      </c>
      <c r="F28" s="15">
        <v>9.75</v>
      </c>
      <c r="G28" s="1" t="s">
        <v>146</v>
      </c>
      <c r="H28" s="1" t="s">
        <v>148</v>
      </c>
      <c r="I28" s="2">
        <v>1</v>
      </c>
      <c r="J28" s="2">
        <v>0</v>
      </c>
      <c r="K28" s="2">
        <v>1</v>
      </c>
      <c r="L28" s="2">
        <v>0</v>
      </c>
      <c r="M28" s="2">
        <v>1</v>
      </c>
      <c r="N28" s="2">
        <v>0</v>
      </c>
      <c r="O28" s="2">
        <v>1</v>
      </c>
      <c r="P28" s="2">
        <v>5</v>
      </c>
      <c r="Q28" s="2">
        <v>5</v>
      </c>
      <c r="R28" s="2"/>
      <c r="S28" s="2">
        <v>2</v>
      </c>
      <c r="T28" s="11">
        <v>7</v>
      </c>
      <c r="U28" s="2">
        <v>1</v>
      </c>
      <c r="V28" s="10">
        <v>4</v>
      </c>
      <c r="W28" s="2">
        <v>2</v>
      </c>
      <c r="X28" s="2">
        <v>1</v>
      </c>
      <c r="Y28" s="11">
        <f t="shared" si="0"/>
        <v>7</v>
      </c>
      <c r="Z28" s="21">
        <f t="shared" si="1"/>
        <v>15</v>
      </c>
    </row>
    <row r="29" spans="1:26" ht="30" x14ac:dyDescent="0.25">
      <c r="A29" s="20">
        <v>28</v>
      </c>
      <c r="B29" s="1" t="s">
        <v>188</v>
      </c>
      <c r="C29" s="1" t="s">
        <v>159</v>
      </c>
      <c r="D29" s="17" t="s">
        <v>18</v>
      </c>
      <c r="E29" s="1" t="s">
        <v>118</v>
      </c>
      <c r="F29" s="15">
        <v>7.25</v>
      </c>
      <c r="G29" s="1" t="s">
        <v>146</v>
      </c>
      <c r="H29" s="1" t="s">
        <v>126</v>
      </c>
      <c r="I29" s="2">
        <v>2</v>
      </c>
      <c r="J29" s="2">
        <v>1</v>
      </c>
      <c r="K29" s="2">
        <v>2</v>
      </c>
      <c r="L29" s="2">
        <v>0</v>
      </c>
      <c r="M29" s="2">
        <v>6</v>
      </c>
      <c r="N29" s="2">
        <v>0</v>
      </c>
      <c r="O29" s="2">
        <v>1</v>
      </c>
      <c r="P29" s="2">
        <v>22</v>
      </c>
      <c r="Q29" s="2">
        <v>24</v>
      </c>
      <c r="R29" s="2">
        <v>0</v>
      </c>
      <c r="S29" s="2">
        <v>0</v>
      </c>
      <c r="T29" s="11">
        <v>24</v>
      </c>
      <c r="U29" s="2">
        <v>1</v>
      </c>
      <c r="V29" s="10">
        <v>2</v>
      </c>
      <c r="W29" s="2">
        <v>2</v>
      </c>
      <c r="X29" s="2">
        <v>1</v>
      </c>
      <c r="Y29" s="11">
        <f t="shared" si="0"/>
        <v>5</v>
      </c>
      <c r="Z29" s="21">
        <f t="shared" si="1"/>
        <v>30</v>
      </c>
    </row>
    <row r="30" spans="1:26" ht="30" x14ac:dyDescent="0.25">
      <c r="A30" s="20">
        <v>29</v>
      </c>
      <c r="B30" s="1" t="s">
        <v>189</v>
      </c>
      <c r="C30" s="1" t="s">
        <v>43</v>
      </c>
      <c r="D30" s="17" t="s">
        <v>18</v>
      </c>
      <c r="E30" s="1" t="s">
        <v>58</v>
      </c>
      <c r="F30" s="15">
        <v>7.5</v>
      </c>
      <c r="G30" s="1" t="s">
        <v>146</v>
      </c>
      <c r="H30" s="1" t="s">
        <v>131</v>
      </c>
      <c r="I30" s="2">
        <v>2</v>
      </c>
      <c r="J30" s="2">
        <v>0</v>
      </c>
      <c r="K30" s="2">
        <v>0</v>
      </c>
      <c r="L30" s="2">
        <v>2</v>
      </c>
      <c r="M30" s="2">
        <v>2</v>
      </c>
      <c r="N30" s="2">
        <v>0</v>
      </c>
      <c r="O30" s="2">
        <v>1</v>
      </c>
      <c r="P30" s="2">
        <v>10</v>
      </c>
      <c r="Q30" s="2">
        <v>10</v>
      </c>
      <c r="R30" s="2">
        <v>6</v>
      </c>
      <c r="S30" s="2">
        <v>2</v>
      </c>
      <c r="T30" s="11">
        <v>18</v>
      </c>
      <c r="U30" s="2">
        <v>1</v>
      </c>
      <c r="V30" s="10">
        <v>2</v>
      </c>
      <c r="W30" s="2">
        <v>2</v>
      </c>
      <c r="X30" s="2">
        <v>1</v>
      </c>
      <c r="Y30" s="11">
        <f t="shared" si="0"/>
        <v>5</v>
      </c>
      <c r="Z30" s="21">
        <f t="shared" si="1"/>
        <v>24</v>
      </c>
    </row>
    <row r="31" spans="1:26" ht="30" x14ac:dyDescent="0.25">
      <c r="A31" s="20">
        <v>30</v>
      </c>
      <c r="B31" s="1" t="s">
        <v>190</v>
      </c>
      <c r="C31" s="1" t="s">
        <v>158</v>
      </c>
      <c r="D31" s="17" t="s">
        <v>18</v>
      </c>
      <c r="E31" s="1" t="s">
        <v>114</v>
      </c>
      <c r="F31" s="15">
        <v>2.5833333333333335</v>
      </c>
      <c r="G31" s="1" t="s">
        <v>146</v>
      </c>
      <c r="H31" s="1" t="s">
        <v>150</v>
      </c>
      <c r="I31" s="2">
        <v>1</v>
      </c>
      <c r="J31" s="2">
        <v>1</v>
      </c>
      <c r="K31" s="2">
        <v>1</v>
      </c>
      <c r="L31" s="2">
        <v>0</v>
      </c>
      <c r="M31" s="2">
        <v>3</v>
      </c>
      <c r="N31" s="2">
        <v>1</v>
      </c>
      <c r="O31" s="2">
        <v>0</v>
      </c>
      <c r="P31" s="2">
        <v>15</v>
      </c>
      <c r="Q31" s="2">
        <v>15</v>
      </c>
      <c r="R31" s="2"/>
      <c r="S31" s="2">
        <v>3</v>
      </c>
      <c r="T31" s="11">
        <v>18</v>
      </c>
      <c r="U31" s="2">
        <v>1</v>
      </c>
      <c r="V31" s="10">
        <v>2</v>
      </c>
      <c r="W31" s="2">
        <v>2</v>
      </c>
      <c r="X31" s="2">
        <v>1</v>
      </c>
      <c r="Y31" s="11">
        <f t="shared" si="0"/>
        <v>5</v>
      </c>
      <c r="Z31" s="21">
        <f t="shared" si="1"/>
        <v>24</v>
      </c>
    </row>
    <row r="32" spans="1:26" ht="30" x14ac:dyDescent="0.25">
      <c r="A32" s="20">
        <v>31</v>
      </c>
      <c r="B32" s="1" t="s">
        <v>191</v>
      </c>
      <c r="C32" s="1" t="s">
        <v>44</v>
      </c>
      <c r="D32" s="17" t="s">
        <v>18</v>
      </c>
      <c r="E32" s="1" t="s">
        <v>41</v>
      </c>
      <c r="F32" s="15">
        <v>3.5833333333333335</v>
      </c>
      <c r="G32" s="1" t="s">
        <v>146</v>
      </c>
      <c r="H32" s="1" t="s">
        <v>148</v>
      </c>
      <c r="I32" s="2">
        <v>2</v>
      </c>
      <c r="J32" s="2">
        <v>1</v>
      </c>
      <c r="K32" s="2">
        <v>1</v>
      </c>
      <c r="L32" s="2">
        <v>1</v>
      </c>
      <c r="M32" s="2">
        <v>2</v>
      </c>
      <c r="N32" s="2">
        <v>0</v>
      </c>
      <c r="O32" s="2">
        <v>1</v>
      </c>
      <c r="P32" s="2">
        <v>15</v>
      </c>
      <c r="Q32" s="2">
        <v>15</v>
      </c>
      <c r="R32" s="2"/>
      <c r="S32" s="2">
        <v>3</v>
      </c>
      <c r="T32" s="11">
        <v>18</v>
      </c>
      <c r="U32" s="2">
        <v>1</v>
      </c>
      <c r="V32" s="10">
        <v>6</v>
      </c>
      <c r="W32" s="2">
        <v>2</v>
      </c>
      <c r="X32" s="2">
        <v>1</v>
      </c>
      <c r="Y32" s="11">
        <f t="shared" si="0"/>
        <v>9</v>
      </c>
      <c r="Z32" s="21">
        <f t="shared" si="1"/>
        <v>28</v>
      </c>
    </row>
    <row r="33" spans="1:26" ht="30" x14ac:dyDescent="0.25">
      <c r="A33" s="20">
        <v>32</v>
      </c>
      <c r="B33" s="1" t="s">
        <v>192</v>
      </c>
      <c r="C33" s="1" t="s">
        <v>45</v>
      </c>
      <c r="D33" s="17" t="s">
        <v>18</v>
      </c>
      <c r="E33" s="1" t="s">
        <v>39</v>
      </c>
      <c r="F33" s="15">
        <v>9</v>
      </c>
      <c r="G33" s="1" t="s">
        <v>146</v>
      </c>
      <c r="H33" s="1" t="s">
        <v>147</v>
      </c>
      <c r="I33" s="2">
        <v>1</v>
      </c>
      <c r="J33" s="2">
        <v>1</v>
      </c>
      <c r="K33" s="2">
        <v>1</v>
      </c>
      <c r="L33" s="2">
        <v>0</v>
      </c>
      <c r="M33" s="2">
        <v>4</v>
      </c>
      <c r="N33" s="2">
        <v>0</v>
      </c>
      <c r="O33" s="2">
        <v>1</v>
      </c>
      <c r="P33" s="2">
        <v>17</v>
      </c>
      <c r="Q33" s="2">
        <v>17</v>
      </c>
      <c r="R33" s="2"/>
      <c r="S33" s="2"/>
      <c r="T33" s="11"/>
      <c r="U33" s="2">
        <v>1</v>
      </c>
      <c r="V33" s="10">
        <v>2</v>
      </c>
      <c r="W33" s="2">
        <v>2</v>
      </c>
      <c r="X33" s="2">
        <v>1</v>
      </c>
      <c r="Y33" s="11">
        <f t="shared" si="0"/>
        <v>5</v>
      </c>
      <c r="Z33" s="21">
        <f t="shared" si="1"/>
        <v>6</v>
      </c>
    </row>
    <row r="34" spans="1:26" ht="30" x14ac:dyDescent="0.25">
      <c r="A34" s="20">
        <v>33</v>
      </c>
      <c r="B34" s="1" t="s">
        <v>193</v>
      </c>
      <c r="C34" s="1" t="s">
        <v>46</v>
      </c>
      <c r="D34" s="17" t="s">
        <v>18</v>
      </c>
      <c r="E34" s="1" t="s">
        <v>41</v>
      </c>
      <c r="F34" s="15">
        <v>26.916666666666668</v>
      </c>
      <c r="G34" s="1" t="s">
        <v>146</v>
      </c>
      <c r="H34" s="1" t="s">
        <v>135</v>
      </c>
      <c r="I34" s="2">
        <v>4</v>
      </c>
      <c r="J34" s="2">
        <v>0</v>
      </c>
      <c r="K34" s="2">
        <v>1</v>
      </c>
      <c r="L34" s="2">
        <v>3</v>
      </c>
      <c r="M34" s="2">
        <v>2.5</v>
      </c>
      <c r="N34" s="2">
        <v>0</v>
      </c>
      <c r="O34" s="2">
        <v>1</v>
      </c>
      <c r="P34" s="2">
        <v>20</v>
      </c>
      <c r="Q34" s="2">
        <v>20</v>
      </c>
      <c r="R34" s="2">
        <v>6</v>
      </c>
      <c r="S34" s="2">
        <v>0</v>
      </c>
      <c r="T34" s="11">
        <v>26</v>
      </c>
      <c r="U34" s="2">
        <v>1</v>
      </c>
      <c r="V34" s="10">
        <v>4</v>
      </c>
      <c r="W34" s="2">
        <v>2</v>
      </c>
      <c r="X34" s="2">
        <v>1</v>
      </c>
      <c r="Y34" s="11">
        <f t="shared" si="0"/>
        <v>7</v>
      </c>
      <c r="Z34" s="21">
        <f t="shared" ref="Z34:Z65" si="2">SUM(T34,U34,Y34)</f>
        <v>34</v>
      </c>
    </row>
    <row r="35" spans="1:26" ht="30" x14ac:dyDescent="0.25">
      <c r="A35" s="20">
        <v>34</v>
      </c>
      <c r="B35" s="1" t="s">
        <v>194</v>
      </c>
      <c r="C35" s="1" t="s">
        <v>47</v>
      </c>
      <c r="D35" s="17" t="s">
        <v>18</v>
      </c>
      <c r="E35" s="1" t="s">
        <v>41</v>
      </c>
      <c r="F35" s="15">
        <v>6.083333333333333</v>
      </c>
      <c r="G35" s="1" t="s">
        <v>146</v>
      </c>
      <c r="H35" s="1" t="s">
        <v>150</v>
      </c>
      <c r="I35" s="2">
        <v>1</v>
      </c>
      <c r="J35" s="2">
        <v>1</v>
      </c>
      <c r="K35" s="2">
        <v>1</v>
      </c>
      <c r="L35" s="2">
        <v>0</v>
      </c>
      <c r="M35" s="2">
        <v>3</v>
      </c>
      <c r="N35" s="2">
        <v>0</v>
      </c>
      <c r="O35" s="2">
        <v>1</v>
      </c>
      <c r="P35" s="2">
        <v>15</v>
      </c>
      <c r="Q35" s="2">
        <v>15</v>
      </c>
      <c r="R35" s="2"/>
      <c r="S35" s="2">
        <v>3</v>
      </c>
      <c r="T35" s="11">
        <v>18</v>
      </c>
      <c r="U35" s="2">
        <v>1</v>
      </c>
      <c r="V35" s="10">
        <v>2</v>
      </c>
      <c r="W35" s="2">
        <v>2</v>
      </c>
      <c r="X35" s="2">
        <v>1</v>
      </c>
      <c r="Y35" s="11">
        <f t="shared" si="0"/>
        <v>5</v>
      </c>
      <c r="Z35" s="21">
        <f t="shared" si="2"/>
        <v>24</v>
      </c>
    </row>
    <row r="36" spans="1:26" ht="30" x14ac:dyDescent="0.25">
      <c r="A36" s="20">
        <v>35</v>
      </c>
      <c r="B36" s="1" t="s">
        <v>195</v>
      </c>
      <c r="C36" s="1" t="s">
        <v>48</v>
      </c>
      <c r="D36" s="17" t="s">
        <v>18</v>
      </c>
      <c r="E36" s="1" t="s">
        <v>42</v>
      </c>
      <c r="F36" s="15">
        <v>5.666666666666667</v>
      </c>
      <c r="G36" s="1" t="s">
        <v>146</v>
      </c>
      <c r="H36" s="1" t="s">
        <v>138</v>
      </c>
      <c r="I36" s="2">
        <v>2</v>
      </c>
      <c r="J36" s="2">
        <v>1</v>
      </c>
      <c r="K36" s="2">
        <v>2</v>
      </c>
      <c r="L36" s="2">
        <v>0</v>
      </c>
      <c r="M36" s="2">
        <v>4</v>
      </c>
      <c r="N36" s="2">
        <v>0</v>
      </c>
      <c r="O36" s="2">
        <v>1</v>
      </c>
      <c r="P36" s="2">
        <v>15</v>
      </c>
      <c r="Q36" s="2">
        <v>15</v>
      </c>
      <c r="R36" s="2">
        <v>6</v>
      </c>
      <c r="S36" s="2">
        <v>0</v>
      </c>
      <c r="T36" s="11">
        <v>21</v>
      </c>
      <c r="U36" s="2">
        <v>1</v>
      </c>
      <c r="V36" s="10">
        <v>2</v>
      </c>
      <c r="W36" s="2">
        <v>2</v>
      </c>
      <c r="X36" s="2">
        <v>1</v>
      </c>
      <c r="Y36" s="11">
        <f t="shared" si="0"/>
        <v>5</v>
      </c>
      <c r="Z36" s="21">
        <f t="shared" si="2"/>
        <v>27</v>
      </c>
    </row>
    <row r="37" spans="1:26" ht="30" x14ac:dyDescent="0.25">
      <c r="A37" s="20">
        <v>36</v>
      </c>
      <c r="B37" s="1" t="s">
        <v>196</v>
      </c>
      <c r="C37" s="1" t="s">
        <v>49</v>
      </c>
      <c r="D37" s="17" t="s">
        <v>18</v>
      </c>
      <c r="E37" s="1" t="s">
        <v>40</v>
      </c>
      <c r="F37" s="15">
        <v>15.333333333333334</v>
      </c>
      <c r="G37" s="1" t="s">
        <v>145</v>
      </c>
      <c r="H37" s="1" t="s">
        <v>149</v>
      </c>
      <c r="I37" s="2">
        <v>2</v>
      </c>
      <c r="J37" s="2">
        <v>1</v>
      </c>
      <c r="K37" s="2">
        <v>2</v>
      </c>
      <c r="L37" s="2">
        <v>0</v>
      </c>
      <c r="M37" s="2">
        <v>3</v>
      </c>
      <c r="N37" s="2">
        <v>0</v>
      </c>
      <c r="O37" s="2">
        <v>1</v>
      </c>
      <c r="P37" s="2">
        <v>20</v>
      </c>
      <c r="Q37" s="2">
        <v>20</v>
      </c>
      <c r="R37" s="2">
        <v>0</v>
      </c>
      <c r="S37" s="2">
        <v>2</v>
      </c>
      <c r="T37" s="11">
        <v>22</v>
      </c>
      <c r="U37" s="2">
        <v>1</v>
      </c>
      <c r="V37" s="10">
        <v>5</v>
      </c>
      <c r="W37" s="2">
        <v>2</v>
      </c>
      <c r="X37" s="2">
        <v>1</v>
      </c>
      <c r="Y37" s="11">
        <f t="shared" si="0"/>
        <v>8</v>
      </c>
      <c r="Z37" s="21">
        <f t="shared" si="2"/>
        <v>31</v>
      </c>
    </row>
    <row r="38" spans="1:26" ht="30" x14ac:dyDescent="0.25">
      <c r="A38" s="20">
        <v>37</v>
      </c>
      <c r="B38" s="1" t="s">
        <v>197</v>
      </c>
      <c r="C38" s="1" t="s">
        <v>50</v>
      </c>
      <c r="D38" s="17" t="s">
        <v>18</v>
      </c>
      <c r="E38" s="1" t="s">
        <v>39</v>
      </c>
      <c r="F38" s="15">
        <v>4.25</v>
      </c>
      <c r="G38" s="1" t="s">
        <v>144</v>
      </c>
      <c r="H38" s="1" t="s">
        <v>126</v>
      </c>
      <c r="I38" s="2">
        <v>1</v>
      </c>
      <c r="J38" s="2">
        <v>1</v>
      </c>
      <c r="K38" s="2">
        <v>1</v>
      </c>
      <c r="L38" s="2">
        <v>0</v>
      </c>
      <c r="M38" s="2">
        <v>2</v>
      </c>
      <c r="N38" s="2">
        <v>0</v>
      </c>
      <c r="O38" s="2">
        <v>1</v>
      </c>
      <c r="P38" s="2">
        <v>11</v>
      </c>
      <c r="Q38" s="2">
        <v>11</v>
      </c>
      <c r="R38" s="2">
        <v>0</v>
      </c>
      <c r="S38" s="2">
        <v>3</v>
      </c>
      <c r="T38" s="11">
        <v>14</v>
      </c>
      <c r="U38" s="2">
        <v>1</v>
      </c>
      <c r="V38" s="10">
        <v>2</v>
      </c>
      <c r="W38" s="2">
        <v>2</v>
      </c>
      <c r="X38" s="2">
        <v>1</v>
      </c>
      <c r="Y38" s="11">
        <f t="shared" si="0"/>
        <v>5</v>
      </c>
      <c r="Z38" s="21">
        <f t="shared" si="2"/>
        <v>20</v>
      </c>
    </row>
    <row r="39" spans="1:26" ht="30" x14ac:dyDescent="0.25">
      <c r="A39" s="20">
        <v>38</v>
      </c>
      <c r="B39" s="1" t="s">
        <v>198</v>
      </c>
      <c r="C39" s="1" t="s">
        <v>51</v>
      </c>
      <c r="D39" s="17" t="s">
        <v>18</v>
      </c>
      <c r="E39" s="1" t="s">
        <v>40</v>
      </c>
      <c r="F39" s="15">
        <v>6.166666666666667</v>
      </c>
      <c r="G39" s="1" t="s">
        <v>145</v>
      </c>
      <c r="H39" s="1" t="s">
        <v>149</v>
      </c>
      <c r="I39" s="2">
        <v>2</v>
      </c>
      <c r="J39" s="2">
        <v>1</v>
      </c>
      <c r="K39" s="2">
        <v>2</v>
      </c>
      <c r="L39" s="2">
        <v>0</v>
      </c>
      <c r="M39" s="2">
        <v>3</v>
      </c>
      <c r="N39" s="2">
        <v>0</v>
      </c>
      <c r="O39" s="2">
        <v>1</v>
      </c>
      <c r="P39" s="2">
        <v>20</v>
      </c>
      <c r="Q39" s="2">
        <v>20</v>
      </c>
      <c r="R39" s="2">
        <v>0</v>
      </c>
      <c r="S39" s="2">
        <v>0</v>
      </c>
      <c r="T39" s="11">
        <v>20</v>
      </c>
      <c r="U39" s="2">
        <v>1</v>
      </c>
      <c r="V39" s="10">
        <v>3</v>
      </c>
      <c r="W39" s="2">
        <v>2</v>
      </c>
      <c r="X39" s="2">
        <v>3</v>
      </c>
      <c r="Y39" s="11">
        <f t="shared" si="0"/>
        <v>8</v>
      </c>
      <c r="Z39" s="21">
        <f t="shared" si="2"/>
        <v>29</v>
      </c>
    </row>
    <row r="40" spans="1:26" ht="30" x14ac:dyDescent="0.25">
      <c r="A40" s="20">
        <v>39</v>
      </c>
      <c r="B40" s="1" t="s">
        <v>199</v>
      </c>
      <c r="C40" s="1" t="s">
        <v>160</v>
      </c>
      <c r="D40" s="17" t="s">
        <v>18</v>
      </c>
      <c r="E40" s="1"/>
      <c r="F40" s="15">
        <v>0</v>
      </c>
      <c r="G40" s="1"/>
      <c r="H40" s="1"/>
      <c r="I40" s="2">
        <v>1</v>
      </c>
      <c r="J40" s="2">
        <v>1</v>
      </c>
      <c r="K40" s="2">
        <v>0</v>
      </c>
      <c r="L40" s="2">
        <v>1</v>
      </c>
      <c r="M40" s="2">
        <v>2</v>
      </c>
      <c r="N40" s="2">
        <v>1</v>
      </c>
      <c r="O40" s="2">
        <v>0</v>
      </c>
      <c r="P40" s="2">
        <v>6</v>
      </c>
      <c r="Q40" s="2">
        <v>6</v>
      </c>
      <c r="R40" s="2"/>
      <c r="S40" s="2">
        <v>0</v>
      </c>
      <c r="T40" s="11">
        <v>6</v>
      </c>
      <c r="U40" s="2">
        <v>1</v>
      </c>
      <c r="V40" s="10">
        <v>2</v>
      </c>
      <c r="W40" s="2">
        <v>2</v>
      </c>
      <c r="X40" s="2">
        <v>1</v>
      </c>
      <c r="Y40" s="11">
        <f t="shared" si="0"/>
        <v>5</v>
      </c>
      <c r="Z40" s="21">
        <f t="shared" si="2"/>
        <v>12</v>
      </c>
    </row>
    <row r="41" spans="1:26" ht="30" x14ac:dyDescent="0.25">
      <c r="A41" s="20">
        <v>40</v>
      </c>
      <c r="B41" s="1" t="s">
        <v>200</v>
      </c>
      <c r="C41" s="1" t="s">
        <v>52</v>
      </c>
      <c r="D41" s="17" t="s">
        <v>18</v>
      </c>
      <c r="E41" s="1" t="s">
        <v>38</v>
      </c>
      <c r="F41" s="15">
        <v>3.3333333333333335</v>
      </c>
      <c r="G41" s="1" t="s">
        <v>144</v>
      </c>
      <c r="H41" s="1" t="s">
        <v>140</v>
      </c>
      <c r="I41" s="2">
        <v>1</v>
      </c>
      <c r="J41" s="2">
        <v>1</v>
      </c>
      <c r="K41" s="2">
        <v>1</v>
      </c>
      <c r="L41" s="2">
        <v>0</v>
      </c>
      <c r="M41" s="2">
        <v>2</v>
      </c>
      <c r="N41" s="2">
        <v>1</v>
      </c>
      <c r="O41" s="2">
        <v>0</v>
      </c>
      <c r="P41" s="2">
        <v>8</v>
      </c>
      <c r="Q41" s="2">
        <v>8</v>
      </c>
      <c r="R41" s="2">
        <v>0</v>
      </c>
      <c r="S41" s="2">
        <v>2</v>
      </c>
      <c r="T41" s="11">
        <v>10</v>
      </c>
      <c r="U41" s="2">
        <v>1</v>
      </c>
      <c r="V41" s="10">
        <v>2</v>
      </c>
      <c r="W41" s="2">
        <v>2</v>
      </c>
      <c r="X41" s="2">
        <v>1</v>
      </c>
      <c r="Y41" s="11">
        <f t="shared" si="0"/>
        <v>5</v>
      </c>
      <c r="Z41" s="21">
        <f t="shared" si="2"/>
        <v>16</v>
      </c>
    </row>
    <row r="42" spans="1:26" ht="30" x14ac:dyDescent="0.25">
      <c r="A42" s="20">
        <v>41</v>
      </c>
      <c r="B42" s="1" t="s">
        <v>201</v>
      </c>
      <c r="C42" s="1" t="s">
        <v>53</v>
      </c>
      <c r="D42" s="17" t="s">
        <v>18</v>
      </c>
      <c r="E42" s="1" t="s">
        <v>38</v>
      </c>
      <c r="F42" s="15">
        <v>9.6666666666666661</v>
      </c>
      <c r="G42" s="1" t="s">
        <v>144</v>
      </c>
      <c r="H42" s="1" t="s">
        <v>126</v>
      </c>
      <c r="I42" s="2">
        <v>2</v>
      </c>
      <c r="J42" s="2">
        <v>0</v>
      </c>
      <c r="K42" s="2">
        <v>2</v>
      </c>
      <c r="L42" s="2">
        <v>0</v>
      </c>
      <c r="M42" s="2">
        <v>1.46</v>
      </c>
      <c r="N42" s="2">
        <v>0</v>
      </c>
      <c r="O42" s="2">
        <v>1</v>
      </c>
      <c r="P42" s="2">
        <v>7</v>
      </c>
      <c r="Q42" s="2">
        <v>7</v>
      </c>
      <c r="R42" s="2">
        <v>0</v>
      </c>
      <c r="S42" s="2">
        <v>0</v>
      </c>
      <c r="T42" s="11">
        <v>7</v>
      </c>
      <c r="U42" s="2">
        <v>1</v>
      </c>
      <c r="V42" s="10">
        <v>2</v>
      </c>
      <c r="W42" s="2">
        <v>2</v>
      </c>
      <c r="X42" s="2">
        <v>1</v>
      </c>
      <c r="Y42" s="11">
        <f t="shared" si="0"/>
        <v>5</v>
      </c>
      <c r="Z42" s="21">
        <f t="shared" si="2"/>
        <v>13</v>
      </c>
    </row>
    <row r="43" spans="1:26" ht="30" x14ac:dyDescent="0.25">
      <c r="A43" s="20">
        <v>42</v>
      </c>
      <c r="B43" s="1" t="s">
        <v>202</v>
      </c>
      <c r="C43" s="1" t="s">
        <v>54</v>
      </c>
      <c r="D43" s="17" t="s">
        <v>18</v>
      </c>
      <c r="E43" s="1" t="s">
        <v>38</v>
      </c>
      <c r="F43" s="15">
        <v>3</v>
      </c>
      <c r="G43" s="1" t="s">
        <v>144</v>
      </c>
      <c r="H43" s="1" t="s">
        <v>140</v>
      </c>
      <c r="I43" s="2">
        <v>2</v>
      </c>
      <c r="J43" s="2">
        <v>0</v>
      </c>
      <c r="K43" s="2">
        <v>1</v>
      </c>
      <c r="L43" s="2">
        <v>1</v>
      </c>
      <c r="M43" s="2">
        <v>1.2</v>
      </c>
      <c r="N43" s="2">
        <v>1</v>
      </c>
      <c r="O43" s="2">
        <v>0</v>
      </c>
      <c r="P43" s="2">
        <v>10</v>
      </c>
      <c r="Q43" s="2">
        <v>10</v>
      </c>
      <c r="R43" s="2">
        <v>0</v>
      </c>
      <c r="S43" s="2">
        <v>0</v>
      </c>
      <c r="T43" s="11">
        <v>10</v>
      </c>
      <c r="U43" s="2">
        <v>1</v>
      </c>
      <c r="V43" s="10">
        <v>2</v>
      </c>
      <c r="W43" s="2">
        <v>2</v>
      </c>
      <c r="X43" s="2">
        <v>1</v>
      </c>
      <c r="Y43" s="11">
        <f t="shared" si="0"/>
        <v>5</v>
      </c>
      <c r="Z43" s="21">
        <f t="shared" si="2"/>
        <v>16</v>
      </c>
    </row>
    <row r="44" spans="1:26" ht="30" x14ac:dyDescent="0.25">
      <c r="A44" s="20">
        <v>43</v>
      </c>
      <c r="B44" s="1" t="s">
        <v>203</v>
      </c>
      <c r="C44" s="1" t="s">
        <v>55</v>
      </c>
      <c r="D44" s="17" t="s">
        <v>18</v>
      </c>
      <c r="E44" s="1" t="s">
        <v>40</v>
      </c>
      <c r="F44" s="15">
        <v>10</v>
      </c>
      <c r="G44" s="1" t="s">
        <v>145</v>
      </c>
      <c r="H44" s="1" t="s">
        <v>154</v>
      </c>
      <c r="I44" s="2">
        <v>2</v>
      </c>
      <c r="J44" s="2">
        <v>1</v>
      </c>
      <c r="K44" s="2">
        <v>2</v>
      </c>
      <c r="L44" s="2">
        <v>0</v>
      </c>
      <c r="M44" s="2">
        <v>2.5</v>
      </c>
      <c r="N44" s="2">
        <v>1</v>
      </c>
      <c r="O44" s="2">
        <v>0</v>
      </c>
      <c r="P44" s="2">
        <v>15</v>
      </c>
      <c r="Q44" s="2">
        <v>15</v>
      </c>
      <c r="R44" s="2">
        <v>0</v>
      </c>
      <c r="S44" s="2">
        <v>2</v>
      </c>
      <c r="T44" s="11">
        <v>17</v>
      </c>
      <c r="U44" s="2">
        <v>1</v>
      </c>
      <c r="V44" s="10">
        <v>7</v>
      </c>
      <c r="W44" s="2">
        <v>2</v>
      </c>
      <c r="X44" s="2">
        <v>3</v>
      </c>
      <c r="Y44" s="11">
        <f t="shared" si="0"/>
        <v>12</v>
      </c>
      <c r="Z44" s="21">
        <f t="shared" si="2"/>
        <v>30</v>
      </c>
    </row>
    <row r="45" spans="1:26" ht="30" x14ac:dyDescent="0.25">
      <c r="A45" s="20">
        <v>44</v>
      </c>
      <c r="B45" s="1" t="s">
        <v>204</v>
      </c>
      <c r="C45" s="1" t="s">
        <v>56</v>
      </c>
      <c r="D45" s="17" t="s">
        <v>18</v>
      </c>
      <c r="E45" s="1" t="s">
        <v>38</v>
      </c>
      <c r="F45" s="15">
        <v>5</v>
      </c>
      <c r="G45" s="1" t="s">
        <v>144</v>
      </c>
      <c r="H45" s="1" t="s">
        <v>151</v>
      </c>
      <c r="I45" s="2">
        <v>3</v>
      </c>
      <c r="J45" s="2">
        <v>0</v>
      </c>
      <c r="K45" s="2">
        <v>2</v>
      </c>
      <c r="L45" s="2">
        <v>1</v>
      </c>
      <c r="M45" s="2">
        <v>1.71</v>
      </c>
      <c r="N45" s="2">
        <v>0</v>
      </c>
      <c r="O45" s="2">
        <v>1</v>
      </c>
      <c r="P45" s="2">
        <v>15</v>
      </c>
      <c r="Q45" s="2">
        <v>15</v>
      </c>
      <c r="R45" s="2">
        <v>0</v>
      </c>
      <c r="S45" s="2">
        <v>0</v>
      </c>
      <c r="T45" s="11">
        <v>15</v>
      </c>
      <c r="U45" s="2">
        <v>1</v>
      </c>
      <c r="V45" s="10">
        <v>2</v>
      </c>
      <c r="W45" s="2">
        <v>2</v>
      </c>
      <c r="X45" s="2">
        <v>1</v>
      </c>
      <c r="Y45" s="11">
        <f t="shared" si="0"/>
        <v>5</v>
      </c>
      <c r="Z45" s="21">
        <f t="shared" si="2"/>
        <v>21</v>
      </c>
    </row>
    <row r="46" spans="1:26" ht="30" x14ac:dyDescent="0.25">
      <c r="A46" s="20">
        <v>45</v>
      </c>
      <c r="B46" s="1" t="s">
        <v>205</v>
      </c>
      <c r="C46" s="1" t="s">
        <v>155</v>
      </c>
      <c r="D46" s="17" t="s">
        <v>18</v>
      </c>
      <c r="E46" s="1" t="s">
        <v>38</v>
      </c>
      <c r="F46" s="15">
        <v>2</v>
      </c>
      <c r="G46" s="1" t="s">
        <v>144</v>
      </c>
      <c r="H46" s="1" t="s">
        <v>151</v>
      </c>
      <c r="I46" s="2">
        <v>2</v>
      </c>
      <c r="J46" s="2">
        <v>0</v>
      </c>
      <c r="K46" s="2">
        <v>1</v>
      </c>
      <c r="L46" s="2">
        <v>1</v>
      </c>
      <c r="M46" s="2">
        <v>0.78</v>
      </c>
      <c r="N46" s="2">
        <v>1</v>
      </c>
      <c r="O46" s="2">
        <v>0</v>
      </c>
      <c r="P46" s="2">
        <v>10</v>
      </c>
      <c r="Q46" s="2">
        <v>10</v>
      </c>
      <c r="R46" s="2">
        <v>0</v>
      </c>
      <c r="S46" s="2">
        <v>2</v>
      </c>
      <c r="T46" s="11">
        <v>12</v>
      </c>
      <c r="U46" s="2">
        <v>1</v>
      </c>
      <c r="V46" s="10">
        <v>2</v>
      </c>
      <c r="W46" s="2">
        <v>2</v>
      </c>
      <c r="X46" s="2">
        <v>1</v>
      </c>
      <c r="Y46" s="11">
        <f t="shared" si="0"/>
        <v>5</v>
      </c>
      <c r="Z46" s="21">
        <f t="shared" si="2"/>
        <v>18</v>
      </c>
    </row>
    <row r="47" spans="1:26" ht="30" x14ac:dyDescent="0.25">
      <c r="A47" s="20">
        <v>46</v>
      </c>
      <c r="B47" s="1" t="s">
        <v>206</v>
      </c>
      <c r="C47" s="1" t="s">
        <v>57</v>
      </c>
      <c r="D47" s="17" t="s">
        <v>18</v>
      </c>
      <c r="E47" s="1" t="s">
        <v>38</v>
      </c>
      <c r="F47" s="15">
        <v>2</v>
      </c>
      <c r="G47" s="1" t="s">
        <v>144</v>
      </c>
      <c r="H47" s="1" t="s">
        <v>151</v>
      </c>
      <c r="I47" s="2">
        <v>1</v>
      </c>
      <c r="J47" s="2">
        <v>0</v>
      </c>
      <c r="K47" s="2">
        <v>0</v>
      </c>
      <c r="L47" s="2">
        <v>1</v>
      </c>
      <c r="M47" s="2">
        <v>0.08</v>
      </c>
      <c r="N47" s="2">
        <v>1</v>
      </c>
      <c r="O47" s="2">
        <v>0</v>
      </c>
      <c r="P47" s="2">
        <v>5</v>
      </c>
      <c r="Q47" s="2">
        <v>5</v>
      </c>
      <c r="R47" s="2">
        <v>0</v>
      </c>
      <c r="S47" s="2">
        <v>6</v>
      </c>
      <c r="T47" s="11">
        <v>11</v>
      </c>
      <c r="U47" s="2">
        <v>1</v>
      </c>
      <c r="V47" s="10">
        <v>2</v>
      </c>
      <c r="W47" s="2">
        <v>2</v>
      </c>
      <c r="X47" s="2">
        <v>1</v>
      </c>
      <c r="Y47" s="11">
        <f t="shared" si="0"/>
        <v>5</v>
      </c>
      <c r="Z47" s="21">
        <f t="shared" si="2"/>
        <v>17</v>
      </c>
    </row>
    <row r="48" spans="1:26" x14ac:dyDescent="0.25">
      <c r="A48" s="20">
        <v>47</v>
      </c>
      <c r="B48" s="1" t="s">
        <v>207</v>
      </c>
      <c r="C48" s="5" t="s">
        <v>275</v>
      </c>
      <c r="D48" s="1" t="s">
        <v>15</v>
      </c>
      <c r="E48" s="1" t="s">
        <v>37</v>
      </c>
      <c r="F48" s="2">
        <v>17.5</v>
      </c>
      <c r="G48" s="1" t="s">
        <v>121</v>
      </c>
      <c r="H48" s="1" t="s">
        <v>131</v>
      </c>
      <c r="I48" s="2">
        <v>1</v>
      </c>
      <c r="J48" s="2">
        <v>0</v>
      </c>
      <c r="K48" s="2">
        <v>1</v>
      </c>
      <c r="L48" s="2">
        <v>0</v>
      </c>
      <c r="M48" s="2">
        <v>0.6</v>
      </c>
      <c r="N48" s="2">
        <v>0</v>
      </c>
      <c r="O48" s="2">
        <v>1</v>
      </c>
      <c r="P48" s="2">
        <v>5</v>
      </c>
      <c r="Q48" s="2">
        <v>5</v>
      </c>
      <c r="R48" s="2">
        <v>3</v>
      </c>
      <c r="S48" s="2">
        <v>0</v>
      </c>
      <c r="T48" s="11">
        <v>8</v>
      </c>
      <c r="U48" s="2">
        <v>3</v>
      </c>
      <c r="V48" s="10">
        <v>6</v>
      </c>
      <c r="W48" s="2">
        <v>6</v>
      </c>
      <c r="X48" s="2">
        <v>1</v>
      </c>
      <c r="Y48" s="11">
        <f t="shared" si="0"/>
        <v>13</v>
      </c>
      <c r="Z48" s="21">
        <f t="shared" si="2"/>
        <v>24</v>
      </c>
    </row>
    <row r="49" spans="1:40" ht="30" x14ac:dyDescent="0.25">
      <c r="A49" s="20">
        <v>48</v>
      </c>
      <c r="B49" s="1" t="s">
        <v>208</v>
      </c>
      <c r="C49" s="1" t="s">
        <v>59</v>
      </c>
      <c r="D49" s="17" t="s">
        <v>18</v>
      </c>
      <c r="E49" s="1" t="s">
        <v>73</v>
      </c>
      <c r="F49" s="15">
        <v>7</v>
      </c>
      <c r="G49" s="1" t="s">
        <v>133</v>
      </c>
      <c r="H49" s="1" t="s">
        <v>135</v>
      </c>
      <c r="I49" s="2">
        <v>3</v>
      </c>
      <c r="J49" s="2">
        <v>0</v>
      </c>
      <c r="K49" s="2">
        <v>0</v>
      </c>
      <c r="L49" s="2">
        <v>3</v>
      </c>
      <c r="M49" s="2">
        <v>1.83</v>
      </c>
      <c r="N49" s="2">
        <v>0</v>
      </c>
      <c r="O49" s="2">
        <v>1</v>
      </c>
      <c r="P49" s="2">
        <v>10</v>
      </c>
      <c r="Q49" s="2">
        <v>10</v>
      </c>
      <c r="R49" s="2">
        <v>6</v>
      </c>
      <c r="S49" s="2">
        <v>0</v>
      </c>
      <c r="T49" s="11">
        <v>16</v>
      </c>
      <c r="U49" s="2">
        <v>1</v>
      </c>
      <c r="V49" s="10">
        <v>2</v>
      </c>
      <c r="W49" s="2">
        <v>2</v>
      </c>
      <c r="X49" s="2">
        <v>1</v>
      </c>
      <c r="Y49" s="11">
        <f t="shared" si="0"/>
        <v>5</v>
      </c>
      <c r="Z49" s="21">
        <f t="shared" si="2"/>
        <v>22</v>
      </c>
    </row>
    <row r="50" spans="1:40" ht="30" x14ac:dyDescent="0.25">
      <c r="A50" s="20">
        <v>49</v>
      </c>
      <c r="B50" s="1" t="s">
        <v>209</v>
      </c>
      <c r="C50" s="1" t="s">
        <v>60</v>
      </c>
      <c r="D50" s="17" t="s">
        <v>18</v>
      </c>
      <c r="E50" s="1" t="s">
        <v>73</v>
      </c>
      <c r="F50" s="15">
        <v>4.333333333333333</v>
      </c>
      <c r="G50" s="1" t="s">
        <v>121</v>
      </c>
      <c r="H50" s="1" t="s">
        <v>133</v>
      </c>
      <c r="I50" s="2">
        <v>1</v>
      </c>
      <c r="J50" s="2">
        <v>0</v>
      </c>
      <c r="K50" s="2">
        <v>1</v>
      </c>
      <c r="L50" s="2">
        <v>0</v>
      </c>
      <c r="M50" s="2">
        <v>1</v>
      </c>
      <c r="N50" s="2">
        <v>1</v>
      </c>
      <c r="O50" s="2">
        <v>0</v>
      </c>
      <c r="P50" s="2">
        <v>0</v>
      </c>
      <c r="Q50" s="2">
        <v>0</v>
      </c>
      <c r="R50" s="2">
        <v>3</v>
      </c>
      <c r="S50" s="2">
        <v>0</v>
      </c>
      <c r="T50" s="11">
        <v>3</v>
      </c>
      <c r="U50" s="2">
        <v>1</v>
      </c>
      <c r="V50" s="10">
        <v>2</v>
      </c>
      <c r="W50" s="2">
        <v>2</v>
      </c>
      <c r="X50" s="2">
        <v>1</v>
      </c>
      <c r="Y50" s="11">
        <f t="shared" si="0"/>
        <v>5</v>
      </c>
      <c r="Z50" s="21">
        <f t="shared" si="2"/>
        <v>9</v>
      </c>
    </row>
    <row r="51" spans="1:40" ht="30" x14ac:dyDescent="0.25">
      <c r="A51" s="20">
        <v>50</v>
      </c>
      <c r="B51" s="1" t="s">
        <v>210</v>
      </c>
      <c r="C51" s="1" t="s">
        <v>61</v>
      </c>
      <c r="D51" s="17" t="s">
        <v>18</v>
      </c>
      <c r="E51" s="1" t="s">
        <v>73</v>
      </c>
      <c r="F51" s="15">
        <v>2.5833333333333335</v>
      </c>
      <c r="G51" s="1" t="s">
        <v>133</v>
      </c>
      <c r="H51" s="1" t="s">
        <v>136</v>
      </c>
      <c r="I51" s="2">
        <v>3</v>
      </c>
      <c r="J51" s="2">
        <v>0</v>
      </c>
      <c r="K51" s="2">
        <v>0</v>
      </c>
      <c r="L51" s="2">
        <v>2</v>
      </c>
      <c r="M51" s="2">
        <v>2.4500000000000002</v>
      </c>
      <c r="N51" s="2">
        <v>0</v>
      </c>
      <c r="O51" s="2">
        <v>1</v>
      </c>
      <c r="P51" s="2">
        <v>12</v>
      </c>
      <c r="Q51" s="2">
        <v>12</v>
      </c>
      <c r="R51" s="2">
        <v>3</v>
      </c>
      <c r="S51" s="2">
        <v>0</v>
      </c>
      <c r="T51" s="11">
        <v>15</v>
      </c>
      <c r="U51" s="2">
        <v>1</v>
      </c>
      <c r="V51" s="10">
        <v>2</v>
      </c>
      <c r="W51" s="2">
        <v>2</v>
      </c>
      <c r="X51" s="2">
        <v>1</v>
      </c>
      <c r="Y51" s="11">
        <f t="shared" si="0"/>
        <v>5</v>
      </c>
      <c r="Z51" s="21">
        <f t="shared" si="2"/>
        <v>21</v>
      </c>
    </row>
    <row r="52" spans="1:40" s="3" customFormat="1" ht="30" x14ac:dyDescent="0.25">
      <c r="A52" s="20">
        <v>51</v>
      </c>
      <c r="B52" s="1" t="s">
        <v>211</v>
      </c>
      <c r="C52" s="6" t="s">
        <v>276</v>
      </c>
      <c r="D52" s="18" t="s">
        <v>18</v>
      </c>
      <c r="E52" s="6" t="s">
        <v>37</v>
      </c>
      <c r="F52" s="16">
        <v>27.916666666666668</v>
      </c>
      <c r="G52" s="6" t="s">
        <v>121</v>
      </c>
      <c r="H52" s="1" t="s">
        <v>150</v>
      </c>
      <c r="I52" s="10">
        <v>1</v>
      </c>
      <c r="J52" s="10">
        <v>1</v>
      </c>
      <c r="K52" s="10">
        <v>1</v>
      </c>
      <c r="L52" s="10">
        <v>0</v>
      </c>
      <c r="M52" s="10">
        <v>2</v>
      </c>
      <c r="N52" s="10">
        <v>0</v>
      </c>
      <c r="O52" s="10">
        <v>1</v>
      </c>
      <c r="P52" s="10">
        <v>10</v>
      </c>
      <c r="Q52" s="10">
        <v>10</v>
      </c>
      <c r="R52" s="10">
        <v>0</v>
      </c>
      <c r="S52" s="10">
        <v>0</v>
      </c>
      <c r="T52" s="11">
        <v>10</v>
      </c>
      <c r="U52" s="2">
        <v>1</v>
      </c>
      <c r="V52" s="10">
        <v>6</v>
      </c>
      <c r="W52" s="2">
        <v>2</v>
      </c>
      <c r="X52" s="2">
        <v>1</v>
      </c>
      <c r="Y52" s="11">
        <f t="shared" si="0"/>
        <v>9</v>
      </c>
      <c r="Z52" s="21">
        <f t="shared" si="2"/>
        <v>20</v>
      </c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</row>
    <row r="53" spans="1:40" s="3" customFormat="1" ht="30" x14ac:dyDescent="0.25">
      <c r="A53" s="20">
        <v>52</v>
      </c>
      <c r="B53" s="1" t="s">
        <v>212</v>
      </c>
      <c r="C53" s="6" t="s">
        <v>62</v>
      </c>
      <c r="D53" s="18" t="s">
        <v>18</v>
      </c>
      <c r="E53" s="6" t="s">
        <v>73</v>
      </c>
      <c r="F53" s="16">
        <v>3.3333333333333335</v>
      </c>
      <c r="G53" s="6" t="s">
        <v>133</v>
      </c>
      <c r="H53" s="1" t="s">
        <v>135</v>
      </c>
      <c r="I53" s="10">
        <v>1</v>
      </c>
      <c r="J53" s="10">
        <v>0</v>
      </c>
      <c r="K53" s="10">
        <v>1</v>
      </c>
      <c r="L53" s="10">
        <v>0</v>
      </c>
      <c r="M53" s="10">
        <v>1</v>
      </c>
      <c r="N53" s="10">
        <v>0</v>
      </c>
      <c r="O53" s="10">
        <v>1</v>
      </c>
      <c r="P53" s="10">
        <v>5</v>
      </c>
      <c r="Q53" s="10">
        <v>5</v>
      </c>
      <c r="R53" s="10">
        <v>0</v>
      </c>
      <c r="S53" s="10">
        <v>0</v>
      </c>
      <c r="T53" s="11">
        <v>5</v>
      </c>
      <c r="U53" s="2">
        <v>1</v>
      </c>
      <c r="V53" s="10">
        <v>2</v>
      </c>
      <c r="W53" s="2">
        <v>2</v>
      </c>
      <c r="X53" s="2">
        <v>1</v>
      </c>
      <c r="Y53" s="11">
        <f t="shared" si="0"/>
        <v>5</v>
      </c>
      <c r="Z53" s="21">
        <f t="shared" si="2"/>
        <v>11</v>
      </c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</row>
    <row r="54" spans="1:40" ht="30" x14ac:dyDescent="0.25">
      <c r="A54" s="20">
        <v>53</v>
      </c>
      <c r="B54" s="1" t="s">
        <v>213</v>
      </c>
      <c r="C54" s="1" t="s">
        <v>63</v>
      </c>
      <c r="D54" s="17" t="s">
        <v>18</v>
      </c>
      <c r="E54" s="1" t="s">
        <v>58</v>
      </c>
      <c r="F54" s="15">
        <v>10.25</v>
      </c>
      <c r="G54" s="1" t="s">
        <v>121</v>
      </c>
      <c r="H54" s="1" t="s">
        <v>122</v>
      </c>
      <c r="I54" s="2">
        <v>1</v>
      </c>
      <c r="J54" s="2">
        <v>1</v>
      </c>
      <c r="K54" s="2">
        <v>1</v>
      </c>
      <c r="L54" s="2">
        <v>0</v>
      </c>
      <c r="M54" s="2">
        <v>2</v>
      </c>
      <c r="N54" s="2">
        <v>0</v>
      </c>
      <c r="O54" s="2">
        <v>1</v>
      </c>
      <c r="P54" s="2">
        <v>8</v>
      </c>
      <c r="Q54" s="2">
        <v>8</v>
      </c>
      <c r="R54" s="2">
        <v>0</v>
      </c>
      <c r="S54" s="2">
        <v>2</v>
      </c>
      <c r="T54" s="11">
        <v>10</v>
      </c>
      <c r="U54" s="2">
        <v>1</v>
      </c>
      <c r="V54" s="10">
        <v>8</v>
      </c>
      <c r="W54" s="2">
        <v>2</v>
      </c>
      <c r="X54" s="2">
        <v>1</v>
      </c>
      <c r="Y54" s="11">
        <f t="shared" si="0"/>
        <v>11</v>
      </c>
      <c r="Z54" s="21">
        <f t="shared" si="2"/>
        <v>22</v>
      </c>
    </row>
    <row r="55" spans="1:40" ht="30" x14ac:dyDescent="0.25">
      <c r="A55" s="20">
        <v>54</v>
      </c>
      <c r="B55" s="1" t="s">
        <v>214</v>
      </c>
      <c r="C55" s="1" t="s">
        <v>64</v>
      </c>
      <c r="D55" s="17" t="s">
        <v>18</v>
      </c>
      <c r="E55" s="1" t="s">
        <v>73</v>
      </c>
      <c r="F55" s="15">
        <v>6</v>
      </c>
      <c r="G55" s="1" t="s">
        <v>121</v>
      </c>
      <c r="H55" s="1" t="s">
        <v>133</v>
      </c>
      <c r="I55" s="2">
        <v>3</v>
      </c>
      <c r="J55" s="2">
        <v>1</v>
      </c>
      <c r="K55" s="2">
        <v>1</v>
      </c>
      <c r="L55" s="2">
        <v>2</v>
      </c>
      <c r="M55" s="2">
        <v>2.9</v>
      </c>
      <c r="N55" s="2">
        <v>0</v>
      </c>
      <c r="O55" s="2">
        <v>1</v>
      </c>
      <c r="P55" s="2">
        <v>15</v>
      </c>
      <c r="Q55" s="2">
        <v>15</v>
      </c>
      <c r="R55" s="2">
        <v>3</v>
      </c>
      <c r="S55" s="2">
        <v>0</v>
      </c>
      <c r="T55" s="11">
        <v>18</v>
      </c>
      <c r="U55" s="2">
        <v>1</v>
      </c>
      <c r="V55" s="10">
        <v>2</v>
      </c>
      <c r="W55" s="2">
        <v>2</v>
      </c>
      <c r="X55" s="2">
        <v>1</v>
      </c>
      <c r="Y55" s="11">
        <f t="shared" si="0"/>
        <v>5</v>
      </c>
      <c r="Z55" s="21">
        <f t="shared" si="2"/>
        <v>24</v>
      </c>
    </row>
    <row r="56" spans="1:40" ht="30" x14ac:dyDescent="0.25">
      <c r="A56" s="20">
        <v>55</v>
      </c>
      <c r="B56" s="1" t="s">
        <v>215</v>
      </c>
      <c r="C56" s="1" t="s">
        <v>65</v>
      </c>
      <c r="D56" s="17" t="s">
        <v>18</v>
      </c>
      <c r="E56" s="1" t="s">
        <v>73</v>
      </c>
      <c r="F56" s="15">
        <v>2.6666666666666665</v>
      </c>
      <c r="G56" s="1" t="s">
        <v>133</v>
      </c>
      <c r="H56" s="1" t="s">
        <v>135</v>
      </c>
      <c r="I56" s="2">
        <v>1</v>
      </c>
      <c r="J56" s="2">
        <v>0</v>
      </c>
      <c r="K56" s="2">
        <v>0</v>
      </c>
      <c r="L56" s="2">
        <v>1</v>
      </c>
      <c r="M56" s="2">
        <v>1</v>
      </c>
      <c r="N56" s="2">
        <v>0</v>
      </c>
      <c r="O56" s="2">
        <v>1</v>
      </c>
      <c r="P56" s="2">
        <v>0</v>
      </c>
      <c r="Q56" s="2">
        <v>0</v>
      </c>
      <c r="R56" s="2">
        <v>3</v>
      </c>
      <c r="S56" s="2">
        <v>0</v>
      </c>
      <c r="T56" s="11">
        <v>3</v>
      </c>
      <c r="U56" s="2">
        <v>1</v>
      </c>
      <c r="V56" s="10">
        <v>2</v>
      </c>
      <c r="W56" s="2">
        <v>2</v>
      </c>
      <c r="X56" s="2">
        <v>1</v>
      </c>
      <c r="Y56" s="11">
        <f t="shared" si="0"/>
        <v>5</v>
      </c>
      <c r="Z56" s="21">
        <f t="shared" si="2"/>
        <v>9</v>
      </c>
    </row>
    <row r="57" spans="1:40" ht="30" x14ac:dyDescent="0.25">
      <c r="A57" s="20">
        <v>56</v>
      </c>
      <c r="B57" s="1" t="s">
        <v>216</v>
      </c>
      <c r="C57" s="1" t="s">
        <v>66</v>
      </c>
      <c r="D57" s="17" t="s">
        <v>18</v>
      </c>
      <c r="E57" s="1" t="s">
        <v>73</v>
      </c>
      <c r="F57" s="15">
        <v>6.666666666666667</v>
      </c>
      <c r="G57" s="1" t="s">
        <v>121</v>
      </c>
      <c r="H57" s="1" t="s">
        <v>127</v>
      </c>
      <c r="I57" s="2">
        <v>1</v>
      </c>
      <c r="J57" s="2">
        <v>1</v>
      </c>
      <c r="K57" s="2">
        <v>1</v>
      </c>
      <c r="L57" s="2">
        <v>0</v>
      </c>
      <c r="M57" s="2">
        <v>0.6</v>
      </c>
      <c r="N57" s="2">
        <v>0</v>
      </c>
      <c r="O57" s="2">
        <v>1</v>
      </c>
      <c r="P57" s="2">
        <v>5</v>
      </c>
      <c r="Q57" s="2">
        <v>5</v>
      </c>
      <c r="R57" s="2">
        <v>0</v>
      </c>
      <c r="S57" s="2">
        <v>0</v>
      </c>
      <c r="T57" s="11">
        <v>5</v>
      </c>
      <c r="U57" s="2">
        <v>1</v>
      </c>
      <c r="V57" s="10">
        <v>3</v>
      </c>
      <c r="W57" s="2">
        <v>2</v>
      </c>
      <c r="X57" s="2">
        <v>1</v>
      </c>
      <c r="Y57" s="11">
        <f t="shared" si="0"/>
        <v>6</v>
      </c>
      <c r="Z57" s="21">
        <f t="shared" si="2"/>
        <v>12</v>
      </c>
    </row>
    <row r="58" spans="1:40" s="7" customFormat="1" ht="30" x14ac:dyDescent="0.25">
      <c r="A58" s="20">
        <v>57</v>
      </c>
      <c r="B58" s="1" t="s">
        <v>217</v>
      </c>
      <c r="C58" s="6" t="s">
        <v>67</v>
      </c>
      <c r="D58" s="18" t="s">
        <v>18</v>
      </c>
      <c r="E58" s="6" t="s">
        <v>73</v>
      </c>
      <c r="F58" s="16">
        <v>8.5</v>
      </c>
      <c r="G58" s="6" t="s">
        <v>137</v>
      </c>
      <c r="H58" s="6" t="s">
        <v>138</v>
      </c>
      <c r="I58" s="10">
        <v>2</v>
      </c>
      <c r="J58" s="10">
        <v>1</v>
      </c>
      <c r="K58" s="10">
        <v>0</v>
      </c>
      <c r="L58" s="10">
        <v>1</v>
      </c>
      <c r="M58" s="10">
        <v>2</v>
      </c>
      <c r="N58" s="10">
        <v>0</v>
      </c>
      <c r="O58" s="10">
        <v>1</v>
      </c>
      <c r="P58" s="10">
        <v>8</v>
      </c>
      <c r="Q58" s="10">
        <v>8</v>
      </c>
      <c r="R58" s="10">
        <v>6</v>
      </c>
      <c r="S58" s="10">
        <v>2</v>
      </c>
      <c r="T58" s="11">
        <v>16</v>
      </c>
      <c r="U58" s="2">
        <v>1</v>
      </c>
      <c r="V58" s="10">
        <v>2</v>
      </c>
      <c r="W58" s="2">
        <v>2</v>
      </c>
      <c r="X58" s="2">
        <v>1</v>
      </c>
      <c r="Y58" s="11">
        <f t="shared" si="0"/>
        <v>5</v>
      </c>
      <c r="Z58" s="21">
        <f t="shared" si="2"/>
        <v>22</v>
      </c>
    </row>
    <row r="59" spans="1:40" ht="30" x14ac:dyDescent="0.25">
      <c r="A59" s="20">
        <v>58</v>
      </c>
      <c r="B59" s="1" t="s">
        <v>218</v>
      </c>
      <c r="C59" s="1" t="s">
        <v>68</v>
      </c>
      <c r="D59" s="17" t="s">
        <v>18</v>
      </c>
      <c r="E59" s="1" t="s">
        <v>73</v>
      </c>
      <c r="F59" s="15">
        <v>3</v>
      </c>
      <c r="G59" s="1" t="s">
        <v>133</v>
      </c>
      <c r="H59" s="1" t="s">
        <v>133</v>
      </c>
      <c r="I59" s="2">
        <v>1</v>
      </c>
      <c r="J59" s="2">
        <v>0</v>
      </c>
      <c r="K59" s="2">
        <v>0</v>
      </c>
      <c r="L59" s="2">
        <v>1</v>
      </c>
      <c r="M59" s="2">
        <v>1</v>
      </c>
      <c r="N59" s="2">
        <v>0</v>
      </c>
      <c r="O59" s="2">
        <v>1</v>
      </c>
      <c r="P59" s="2">
        <v>6</v>
      </c>
      <c r="Q59" s="2">
        <v>6</v>
      </c>
      <c r="R59" s="2">
        <v>0</v>
      </c>
      <c r="S59" s="2">
        <v>0</v>
      </c>
      <c r="T59" s="11">
        <v>6</v>
      </c>
      <c r="U59" s="2">
        <v>1</v>
      </c>
      <c r="V59" s="10"/>
      <c r="W59" s="2">
        <v>2</v>
      </c>
      <c r="X59" s="2">
        <v>1</v>
      </c>
      <c r="Y59" s="11">
        <f t="shared" si="0"/>
        <v>3</v>
      </c>
      <c r="Z59" s="21">
        <f t="shared" si="2"/>
        <v>10</v>
      </c>
    </row>
    <row r="60" spans="1:40" ht="30" x14ac:dyDescent="0.25">
      <c r="A60" s="20">
        <v>59</v>
      </c>
      <c r="B60" s="1" t="s">
        <v>219</v>
      </c>
      <c r="C60" s="1" t="s">
        <v>69</v>
      </c>
      <c r="D60" s="17" t="s">
        <v>18</v>
      </c>
      <c r="E60" s="1" t="s">
        <v>73</v>
      </c>
      <c r="F60" s="15">
        <v>2.4166666666666665</v>
      </c>
      <c r="G60" s="1" t="s">
        <v>137</v>
      </c>
      <c r="H60" s="1" t="s">
        <v>138</v>
      </c>
      <c r="I60" s="2">
        <v>1</v>
      </c>
      <c r="J60" s="2">
        <v>1</v>
      </c>
      <c r="K60" s="2">
        <v>0</v>
      </c>
      <c r="L60" s="2">
        <v>1</v>
      </c>
      <c r="M60" s="2">
        <v>2</v>
      </c>
      <c r="N60" s="2">
        <v>0</v>
      </c>
      <c r="O60" s="2">
        <v>1</v>
      </c>
      <c r="P60" s="2">
        <v>0</v>
      </c>
      <c r="Q60" s="2">
        <v>0</v>
      </c>
      <c r="R60" s="2">
        <v>6</v>
      </c>
      <c r="S60" s="2">
        <v>0</v>
      </c>
      <c r="T60" s="11">
        <v>6</v>
      </c>
      <c r="U60" s="2">
        <v>1</v>
      </c>
      <c r="V60" s="10">
        <v>5</v>
      </c>
      <c r="W60" s="2">
        <v>2</v>
      </c>
      <c r="X60" s="2">
        <v>1</v>
      </c>
      <c r="Y60" s="11">
        <f t="shared" si="0"/>
        <v>8</v>
      </c>
      <c r="Z60" s="21">
        <f t="shared" si="2"/>
        <v>15</v>
      </c>
    </row>
    <row r="61" spans="1:40" ht="30" x14ac:dyDescent="0.25">
      <c r="A61" s="20">
        <v>60</v>
      </c>
      <c r="B61" s="1" t="s">
        <v>220</v>
      </c>
      <c r="C61" s="1" t="s">
        <v>70</v>
      </c>
      <c r="D61" s="17" t="s">
        <v>18</v>
      </c>
      <c r="E61" s="1" t="s">
        <v>73</v>
      </c>
      <c r="F61" s="15">
        <v>2.9166666666666665</v>
      </c>
      <c r="G61" s="1" t="s">
        <v>137</v>
      </c>
      <c r="H61" s="1" t="s">
        <v>138</v>
      </c>
      <c r="I61" s="2">
        <v>2</v>
      </c>
      <c r="J61" s="2">
        <v>1</v>
      </c>
      <c r="K61" s="2">
        <v>0</v>
      </c>
      <c r="L61" s="2">
        <v>2</v>
      </c>
      <c r="M61" s="2">
        <v>2</v>
      </c>
      <c r="N61" s="2">
        <v>0</v>
      </c>
      <c r="O61" s="2">
        <v>1</v>
      </c>
      <c r="P61" s="2">
        <v>8</v>
      </c>
      <c r="Q61" s="2">
        <v>8</v>
      </c>
      <c r="R61" s="2">
        <v>6</v>
      </c>
      <c r="S61" s="2">
        <v>2</v>
      </c>
      <c r="T61" s="11">
        <v>16</v>
      </c>
      <c r="U61" s="2">
        <v>1</v>
      </c>
      <c r="V61" s="10"/>
      <c r="W61" s="2">
        <v>2</v>
      </c>
      <c r="X61" s="2">
        <v>1</v>
      </c>
      <c r="Y61" s="11">
        <f t="shared" si="0"/>
        <v>3</v>
      </c>
      <c r="Z61" s="21">
        <f t="shared" si="2"/>
        <v>20</v>
      </c>
    </row>
    <row r="62" spans="1:40" ht="30" x14ac:dyDescent="0.25">
      <c r="A62" s="20">
        <v>61</v>
      </c>
      <c r="B62" s="1" t="s">
        <v>221</v>
      </c>
      <c r="C62" s="1" t="s">
        <v>71</v>
      </c>
      <c r="D62" s="17" t="s">
        <v>18</v>
      </c>
      <c r="E62" s="1" t="s">
        <v>73</v>
      </c>
      <c r="F62" s="15">
        <v>3</v>
      </c>
      <c r="G62" s="1" t="s">
        <v>137</v>
      </c>
      <c r="H62" s="1" t="s">
        <v>138</v>
      </c>
      <c r="I62" s="2">
        <v>2</v>
      </c>
      <c r="J62" s="2">
        <v>1</v>
      </c>
      <c r="K62" s="2">
        <v>0</v>
      </c>
      <c r="L62" s="2">
        <v>2</v>
      </c>
      <c r="M62" s="2">
        <v>3</v>
      </c>
      <c r="N62" s="2">
        <v>0</v>
      </c>
      <c r="O62" s="2">
        <v>1</v>
      </c>
      <c r="P62" s="2">
        <v>0</v>
      </c>
      <c r="Q62" s="2">
        <v>0</v>
      </c>
      <c r="R62" s="2">
        <v>9</v>
      </c>
      <c r="S62" s="2">
        <v>0</v>
      </c>
      <c r="T62" s="11">
        <v>9</v>
      </c>
      <c r="U62" s="2">
        <v>1</v>
      </c>
      <c r="V62" s="10"/>
      <c r="W62" s="2">
        <v>2</v>
      </c>
      <c r="X62" s="2">
        <v>1</v>
      </c>
      <c r="Y62" s="11">
        <f t="shared" si="0"/>
        <v>3</v>
      </c>
      <c r="Z62" s="21">
        <f t="shared" si="2"/>
        <v>13</v>
      </c>
    </row>
    <row r="63" spans="1:40" ht="30" x14ac:dyDescent="0.25">
      <c r="A63" s="20">
        <v>62</v>
      </c>
      <c r="B63" s="1" t="s">
        <v>222</v>
      </c>
      <c r="C63" s="1" t="s">
        <v>277</v>
      </c>
      <c r="D63" s="17" t="s">
        <v>18</v>
      </c>
      <c r="E63" s="1" t="s">
        <v>37</v>
      </c>
      <c r="F63" s="15">
        <v>4.666666666666667</v>
      </c>
      <c r="G63" s="1" t="s">
        <v>121</v>
      </c>
      <c r="H63" s="1" t="s">
        <v>129</v>
      </c>
      <c r="I63" s="2">
        <v>1</v>
      </c>
      <c r="J63" s="2">
        <v>1</v>
      </c>
      <c r="K63" s="2">
        <v>1</v>
      </c>
      <c r="L63" s="2">
        <v>0</v>
      </c>
      <c r="M63" s="2">
        <v>1</v>
      </c>
      <c r="N63" s="2">
        <v>0</v>
      </c>
      <c r="O63" s="2">
        <v>1</v>
      </c>
      <c r="P63" s="2">
        <v>5</v>
      </c>
      <c r="Q63" s="2">
        <v>5</v>
      </c>
      <c r="R63" s="2">
        <v>3</v>
      </c>
      <c r="S63" s="2">
        <v>0</v>
      </c>
      <c r="T63" s="11">
        <v>8</v>
      </c>
      <c r="U63" s="2">
        <v>1</v>
      </c>
      <c r="V63" s="10">
        <v>4</v>
      </c>
      <c r="W63" s="2">
        <v>2</v>
      </c>
      <c r="X63" s="2">
        <v>1</v>
      </c>
      <c r="Y63" s="11">
        <f t="shared" si="0"/>
        <v>7</v>
      </c>
      <c r="Z63" s="21">
        <f t="shared" si="2"/>
        <v>16</v>
      </c>
    </row>
    <row r="64" spans="1:40" s="7" customFormat="1" ht="30" x14ac:dyDescent="0.25">
      <c r="A64" s="20">
        <v>63</v>
      </c>
      <c r="B64" s="1" t="s">
        <v>223</v>
      </c>
      <c r="C64" s="6" t="s">
        <v>72</v>
      </c>
      <c r="D64" s="18" t="s">
        <v>18</v>
      </c>
      <c r="E64" s="6" t="s">
        <v>73</v>
      </c>
      <c r="F64" s="16">
        <v>5.916666666666667</v>
      </c>
      <c r="G64" s="6" t="s">
        <v>137</v>
      </c>
      <c r="H64" s="6" t="s">
        <v>138</v>
      </c>
      <c r="I64" s="10">
        <v>1</v>
      </c>
      <c r="J64" s="10">
        <v>1</v>
      </c>
      <c r="K64" s="10">
        <v>0</v>
      </c>
      <c r="L64" s="10">
        <v>1</v>
      </c>
      <c r="M64" s="10">
        <v>2</v>
      </c>
      <c r="N64" s="10">
        <v>0</v>
      </c>
      <c r="O64" s="10">
        <v>1</v>
      </c>
      <c r="P64" s="10">
        <v>0</v>
      </c>
      <c r="Q64" s="10">
        <v>0</v>
      </c>
      <c r="R64" s="10">
        <v>6</v>
      </c>
      <c r="S64" s="10">
        <v>0</v>
      </c>
      <c r="T64" s="11">
        <v>6</v>
      </c>
      <c r="U64" s="2">
        <v>1</v>
      </c>
      <c r="V64" s="10">
        <v>2</v>
      </c>
      <c r="W64" s="2">
        <v>2</v>
      </c>
      <c r="X64" s="2">
        <v>1</v>
      </c>
      <c r="Y64" s="11">
        <f t="shared" si="0"/>
        <v>5</v>
      </c>
      <c r="Z64" s="21">
        <f t="shared" si="2"/>
        <v>12</v>
      </c>
    </row>
    <row r="65" spans="1:26" ht="30" x14ac:dyDescent="0.25">
      <c r="A65" s="20">
        <v>64</v>
      </c>
      <c r="B65" s="1" t="s">
        <v>224</v>
      </c>
      <c r="C65" s="1" t="s">
        <v>74</v>
      </c>
      <c r="D65" s="17" t="s">
        <v>18</v>
      </c>
      <c r="E65" s="1" t="s">
        <v>73</v>
      </c>
      <c r="F65" s="15">
        <v>15.166666666666666</v>
      </c>
      <c r="G65" s="1" t="s">
        <v>137</v>
      </c>
      <c r="H65" s="1" t="s">
        <v>138</v>
      </c>
      <c r="I65" s="2">
        <v>1</v>
      </c>
      <c r="J65" s="2">
        <v>1</v>
      </c>
      <c r="K65" s="2">
        <v>0</v>
      </c>
      <c r="L65" s="2">
        <v>1</v>
      </c>
      <c r="M65" s="2">
        <v>2</v>
      </c>
      <c r="N65" s="2">
        <v>0</v>
      </c>
      <c r="O65" s="2">
        <v>1</v>
      </c>
      <c r="P65" s="2">
        <v>0</v>
      </c>
      <c r="Q65" s="2">
        <v>0</v>
      </c>
      <c r="R65" s="2">
        <v>6</v>
      </c>
      <c r="S65" s="2">
        <v>0</v>
      </c>
      <c r="T65" s="11">
        <v>6</v>
      </c>
      <c r="U65" s="2">
        <v>1</v>
      </c>
      <c r="V65" s="10">
        <v>2</v>
      </c>
      <c r="W65" s="2">
        <v>2</v>
      </c>
      <c r="X65" s="2">
        <v>1</v>
      </c>
      <c r="Y65" s="11">
        <f t="shared" si="0"/>
        <v>5</v>
      </c>
      <c r="Z65" s="21">
        <f t="shared" si="2"/>
        <v>12</v>
      </c>
    </row>
    <row r="66" spans="1:26" ht="30" x14ac:dyDescent="0.25">
      <c r="A66" s="20">
        <v>65</v>
      </c>
      <c r="B66" s="1" t="s">
        <v>225</v>
      </c>
      <c r="C66" s="1" t="s">
        <v>75</v>
      </c>
      <c r="D66" s="17" t="s">
        <v>18</v>
      </c>
      <c r="E66" s="1" t="s">
        <v>73</v>
      </c>
      <c r="F66" s="15">
        <v>1.4166666666666667</v>
      </c>
      <c r="G66" s="1" t="s">
        <v>137</v>
      </c>
      <c r="H66" s="1" t="s">
        <v>138</v>
      </c>
      <c r="I66" s="2">
        <v>2</v>
      </c>
      <c r="J66" s="2">
        <v>0</v>
      </c>
      <c r="K66" s="2">
        <v>0</v>
      </c>
      <c r="L66" s="2">
        <v>1</v>
      </c>
      <c r="M66" s="2">
        <v>2</v>
      </c>
      <c r="N66" s="2">
        <v>0</v>
      </c>
      <c r="O66" s="2">
        <v>1</v>
      </c>
      <c r="P66" s="2">
        <v>4</v>
      </c>
      <c r="Q66" s="2">
        <v>4</v>
      </c>
      <c r="R66" s="2">
        <v>3</v>
      </c>
      <c r="S66" s="2">
        <v>1</v>
      </c>
      <c r="T66" s="11">
        <v>8</v>
      </c>
      <c r="U66" s="2">
        <v>1</v>
      </c>
      <c r="V66" s="10">
        <v>2</v>
      </c>
      <c r="W66" s="2">
        <v>2</v>
      </c>
      <c r="X66" s="2">
        <v>1</v>
      </c>
      <c r="Y66" s="11">
        <f t="shared" ref="Y66:Y110" si="3">SUM(V66:X66)</f>
        <v>5</v>
      </c>
      <c r="Z66" s="21">
        <f t="shared" ref="Z66:Z97" si="4">SUM(T66,U66,Y66)</f>
        <v>14</v>
      </c>
    </row>
    <row r="67" spans="1:26" ht="30" x14ac:dyDescent="0.25">
      <c r="A67" s="20">
        <v>66</v>
      </c>
      <c r="B67" s="1" t="s">
        <v>226</v>
      </c>
      <c r="C67" s="1" t="s">
        <v>76</v>
      </c>
      <c r="D67" s="17" t="s">
        <v>18</v>
      </c>
      <c r="E67" s="1" t="s">
        <v>41</v>
      </c>
      <c r="F67" s="15">
        <v>11.833333333333334</v>
      </c>
      <c r="G67" s="1" t="s">
        <v>121</v>
      </c>
      <c r="H67" s="1" t="s">
        <v>129</v>
      </c>
      <c r="I67" s="2">
        <v>2</v>
      </c>
      <c r="J67" s="2">
        <v>0</v>
      </c>
      <c r="K67" s="2">
        <v>1</v>
      </c>
      <c r="L67" s="2">
        <v>1</v>
      </c>
      <c r="M67" s="2">
        <v>2</v>
      </c>
      <c r="N67" s="2">
        <v>0</v>
      </c>
      <c r="O67" s="2">
        <v>1</v>
      </c>
      <c r="P67" s="2">
        <v>6</v>
      </c>
      <c r="Q67" s="2">
        <v>6</v>
      </c>
      <c r="R67" s="2">
        <v>3</v>
      </c>
      <c r="S67" s="2">
        <v>0</v>
      </c>
      <c r="T67" s="11">
        <v>9</v>
      </c>
      <c r="U67" s="2">
        <v>1</v>
      </c>
      <c r="V67" s="10">
        <v>6</v>
      </c>
      <c r="W67" s="2">
        <v>2</v>
      </c>
      <c r="X67" s="2">
        <v>1</v>
      </c>
      <c r="Y67" s="11">
        <f t="shared" si="3"/>
        <v>9</v>
      </c>
      <c r="Z67" s="21">
        <f t="shared" si="4"/>
        <v>19</v>
      </c>
    </row>
    <row r="68" spans="1:26" ht="30" x14ac:dyDescent="0.25">
      <c r="A68" s="20">
        <v>67</v>
      </c>
      <c r="B68" s="1" t="s">
        <v>227</v>
      </c>
      <c r="C68" s="1" t="s">
        <v>77</v>
      </c>
      <c r="D68" s="17" t="s">
        <v>18</v>
      </c>
      <c r="E68" s="1" t="s">
        <v>73</v>
      </c>
      <c r="F68" s="15">
        <v>1.4166666666666667</v>
      </c>
      <c r="G68" s="1" t="s">
        <v>137</v>
      </c>
      <c r="H68" s="1" t="s">
        <v>138</v>
      </c>
      <c r="I68" s="2">
        <v>2</v>
      </c>
      <c r="J68" s="2">
        <v>0</v>
      </c>
      <c r="K68" s="2">
        <v>0</v>
      </c>
      <c r="L68" s="2">
        <v>1</v>
      </c>
      <c r="M68" s="2">
        <v>2</v>
      </c>
      <c r="N68" s="2">
        <v>0</v>
      </c>
      <c r="O68" s="2">
        <v>1</v>
      </c>
      <c r="P68" s="2">
        <v>4</v>
      </c>
      <c r="Q68" s="2">
        <v>4</v>
      </c>
      <c r="R68" s="2">
        <v>3</v>
      </c>
      <c r="S68" s="2">
        <v>1</v>
      </c>
      <c r="T68" s="11">
        <v>8</v>
      </c>
      <c r="U68" s="2">
        <v>1</v>
      </c>
      <c r="V68" s="10">
        <v>2</v>
      </c>
      <c r="W68" s="2">
        <v>2</v>
      </c>
      <c r="X68" s="2">
        <v>1</v>
      </c>
      <c r="Y68" s="11">
        <f t="shared" si="3"/>
        <v>5</v>
      </c>
      <c r="Z68" s="21">
        <f t="shared" si="4"/>
        <v>14</v>
      </c>
    </row>
    <row r="69" spans="1:26" ht="30" x14ac:dyDescent="0.25">
      <c r="A69" s="20">
        <v>68</v>
      </c>
      <c r="B69" s="1" t="s">
        <v>228</v>
      </c>
      <c r="C69" s="1" t="s">
        <v>78</v>
      </c>
      <c r="D69" s="17" t="s">
        <v>18</v>
      </c>
      <c r="E69" s="1" t="s">
        <v>73</v>
      </c>
      <c r="F69" s="15">
        <v>5</v>
      </c>
      <c r="G69" s="1" t="s">
        <v>121</v>
      </c>
      <c r="H69" s="1" t="s">
        <v>128</v>
      </c>
      <c r="I69" s="2">
        <v>2</v>
      </c>
      <c r="J69" s="2">
        <v>0</v>
      </c>
      <c r="K69" s="2">
        <v>1</v>
      </c>
      <c r="L69" s="2">
        <v>1</v>
      </c>
      <c r="M69" s="2">
        <v>1.45</v>
      </c>
      <c r="N69" s="2">
        <v>0</v>
      </c>
      <c r="O69" s="2">
        <v>1</v>
      </c>
      <c r="P69" s="2">
        <v>11</v>
      </c>
      <c r="Q69" s="2">
        <v>11</v>
      </c>
      <c r="R69" s="2">
        <v>6</v>
      </c>
      <c r="S69" s="2">
        <v>0</v>
      </c>
      <c r="T69" s="11">
        <v>17</v>
      </c>
      <c r="U69" s="2">
        <v>1</v>
      </c>
      <c r="V69" s="10">
        <v>3</v>
      </c>
      <c r="W69" s="2">
        <v>2</v>
      </c>
      <c r="X69" s="2">
        <v>1</v>
      </c>
      <c r="Y69" s="11">
        <f t="shared" si="3"/>
        <v>6</v>
      </c>
      <c r="Z69" s="21">
        <f t="shared" si="4"/>
        <v>24</v>
      </c>
    </row>
    <row r="70" spans="1:26" ht="30" x14ac:dyDescent="0.25">
      <c r="A70" s="20">
        <v>69</v>
      </c>
      <c r="B70" s="1" t="s">
        <v>229</v>
      </c>
      <c r="C70" s="1" t="s">
        <v>79</v>
      </c>
      <c r="D70" s="17" t="s">
        <v>18</v>
      </c>
      <c r="E70" s="1" t="s">
        <v>37</v>
      </c>
      <c r="F70" s="15">
        <v>11</v>
      </c>
      <c r="G70" s="1" t="s">
        <v>137</v>
      </c>
      <c r="H70" s="1" t="s">
        <v>138</v>
      </c>
      <c r="I70" s="2">
        <v>1</v>
      </c>
      <c r="J70" s="2">
        <v>1</v>
      </c>
      <c r="K70" s="2">
        <v>0</v>
      </c>
      <c r="L70" s="2">
        <v>1</v>
      </c>
      <c r="M70" s="2">
        <v>3</v>
      </c>
      <c r="N70" s="2">
        <v>0</v>
      </c>
      <c r="O70" s="2">
        <v>1</v>
      </c>
      <c r="P70" s="2">
        <v>12</v>
      </c>
      <c r="Q70" s="2">
        <v>12</v>
      </c>
      <c r="R70" s="2">
        <v>0</v>
      </c>
      <c r="S70" s="2">
        <v>3</v>
      </c>
      <c r="T70" s="11">
        <v>15</v>
      </c>
      <c r="U70" s="2">
        <v>1</v>
      </c>
      <c r="V70" s="10">
        <v>3</v>
      </c>
      <c r="W70" s="2">
        <v>2</v>
      </c>
      <c r="X70" s="2">
        <v>1</v>
      </c>
      <c r="Y70" s="11">
        <f t="shared" si="3"/>
        <v>6</v>
      </c>
      <c r="Z70" s="21">
        <f t="shared" si="4"/>
        <v>22</v>
      </c>
    </row>
    <row r="71" spans="1:26" ht="30" x14ac:dyDescent="0.25">
      <c r="A71" s="20">
        <v>70</v>
      </c>
      <c r="B71" s="1" t="s">
        <v>230</v>
      </c>
      <c r="C71" s="1" t="s">
        <v>80</v>
      </c>
      <c r="D71" s="17" t="s">
        <v>18</v>
      </c>
      <c r="E71" s="1" t="s">
        <v>73</v>
      </c>
      <c r="F71" s="15">
        <v>3.25</v>
      </c>
      <c r="G71" s="1" t="s">
        <v>137</v>
      </c>
      <c r="H71" s="1" t="s">
        <v>138</v>
      </c>
      <c r="I71" s="2">
        <v>2</v>
      </c>
      <c r="J71" s="2">
        <v>0</v>
      </c>
      <c r="K71" s="2">
        <v>0</v>
      </c>
      <c r="L71" s="2">
        <v>2</v>
      </c>
      <c r="M71" s="2">
        <v>2</v>
      </c>
      <c r="N71" s="2">
        <v>0</v>
      </c>
      <c r="O71" s="2">
        <v>1</v>
      </c>
      <c r="P71" s="2">
        <v>4</v>
      </c>
      <c r="Q71" s="2">
        <v>4</v>
      </c>
      <c r="R71" s="2">
        <v>3</v>
      </c>
      <c r="S71" s="2">
        <v>1</v>
      </c>
      <c r="T71" s="11">
        <v>8</v>
      </c>
      <c r="U71" s="2">
        <v>1</v>
      </c>
      <c r="V71" s="10">
        <v>1</v>
      </c>
      <c r="W71" s="2">
        <v>2</v>
      </c>
      <c r="X71" s="2">
        <v>1</v>
      </c>
      <c r="Y71" s="11">
        <f t="shared" si="3"/>
        <v>4</v>
      </c>
      <c r="Z71" s="21">
        <f t="shared" si="4"/>
        <v>13</v>
      </c>
    </row>
    <row r="72" spans="1:26" ht="30" x14ac:dyDescent="0.25">
      <c r="A72" s="20">
        <v>71</v>
      </c>
      <c r="B72" s="1" t="s">
        <v>231</v>
      </c>
      <c r="C72" s="1" t="s">
        <v>81</v>
      </c>
      <c r="D72" s="17" t="s">
        <v>18</v>
      </c>
      <c r="E72" s="1" t="s">
        <v>73</v>
      </c>
      <c r="F72" s="15">
        <v>1.8333333333333333</v>
      </c>
      <c r="G72" s="1" t="s">
        <v>137</v>
      </c>
      <c r="H72" s="1" t="s">
        <v>138</v>
      </c>
      <c r="I72" s="2">
        <v>1</v>
      </c>
      <c r="J72" s="2">
        <v>1</v>
      </c>
      <c r="K72" s="2">
        <v>0</v>
      </c>
      <c r="L72" s="2">
        <v>1</v>
      </c>
      <c r="M72" s="2">
        <v>3</v>
      </c>
      <c r="N72" s="2">
        <v>0</v>
      </c>
      <c r="O72" s="2">
        <v>1</v>
      </c>
      <c r="P72" s="2">
        <v>0</v>
      </c>
      <c r="Q72" s="2">
        <v>0</v>
      </c>
      <c r="R72" s="2">
        <v>9</v>
      </c>
      <c r="S72" s="2">
        <v>0</v>
      </c>
      <c r="T72" s="11">
        <v>9</v>
      </c>
      <c r="U72" s="2">
        <v>1</v>
      </c>
      <c r="V72" s="10">
        <v>3</v>
      </c>
      <c r="W72" s="2">
        <v>2</v>
      </c>
      <c r="X72" s="2">
        <v>1</v>
      </c>
      <c r="Y72" s="11">
        <f t="shared" si="3"/>
        <v>6</v>
      </c>
      <c r="Z72" s="21">
        <f t="shared" si="4"/>
        <v>16</v>
      </c>
    </row>
    <row r="73" spans="1:26" ht="30" x14ac:dyDescent="0.25">
      <c r="A73" s="20">
        <v>72</v>
      </c>
      <c r="B73" s="1" t="s">
        <v>232</v>
      </c>
      <c r="C73" s="1" t="s">
        <v>82</v>
      </c>
      <c r="D73" s="17" t="s">
        <v>18</v>
      </c>
      <c r="E73" s="1" t="s">
        <v>41</v>
      </c>
      <c r="F73" s="15">
        <v>24</v>
      </c>
      <c r="G73" s="1" t="s">
        <v>121</v>
      </c>
      <c r="H73" s="1" t="s">
        <v>122</v>
      </c>
      <c r="I73" s="2">
        <v>2</v>
      </c>
      <c r="J73" s="2">
        <v>0</v>
      </c>
      <c r="K73" s="2">
        <v>1</v>
      </c>
      <c r="L73" s="2">
        <v>1</v>
      </c>
      <c r="M73" s="2">
        <v>3</v>
      </c>
      <c r="N73" s="2">
        <v>0</v>
      </c>
      <c r="O73" s="2">
        <v>1</v>
      </c>
      <c r="P73" s="2">
        <v>14</v>
      </c>
      <c r="Q73" s="2">
        <v>14</v>
      </c>
      <c r="R73" s="2">
        <v>0</v>
      </c>
      <c r="S73" s="2">
        <v>2</v>
      </c>
      <c r="T73" s="11">
        <v>16</v>
      </c>
      <c r="U73" s="2">
        <v>1</v>
      </c>
      <c r="V73" s="10">
        <v>2</v>
      </c>
      <c r="W73" s="2">
        <v>2</v>
      </c>
      <c r="X73" s="2">
        <v>1</v>
      </c>
      <c r="Y73" s="11">
        <f t="shared" si="3"/>
        <v>5</v>
      </c>
      <c r="Z73" s="21">
        <f t="shared" si="4"/>
        <v>22</v>
      </c>
    </row>
    <row r="74" spans="1:26" ht="30" x14ac:dyDescent="0.25">
      <c r="A74" s="20">
        <v>73</v>
      </c>
      <c r="B74" s="1" t="s">
        <v>233</v>
      </c>
      <c r="C74" s="1" t="s">
        <v>83</v>
      </c>
      <c r="D74" s="17" t="s">
        <v>18</v>
      </c>
      <c r="E74" s="1" t="s">
        <v>73</v>
      </c>
      <c r="F74" s="15">
        <v>7.25</v>
      </c>
      <c r="G74" s="1" t="s">
        <v>137</v>
      </c>
      <c r="H74" s="1" t="s">
        <v>138</v>
      </c>
      <c r="I74" s="2">
        <v>1</v>
      </c>
      <c r="J74" s="2">
        <v>1</v>
      </c>
      <c r="K74" s="2">
        <v>0</v>
      </c>
      <c r="L74" s="2">
        <v>1</v>
      </c>
      <c r="M74" s="2">
        <v>3</v>
      </c>
      <c r="N74" s="2">
        <v>0</v>
      </c>
      <c r="O74" s="2">
        <v>1</v>
      </c>
      <c r="P74" s="2">
        <v>12</v>
      </c>
      <c r="Q74" s="2">
        <v>12</v>
      </c>
      <c r="R74" s="2">
        <v>0</v>
      </c>
      <c r="S74" s="2">
        <v>3</v>
      </c>
      <c r="T74" s="11">
        <v>15</v>
      </c>
      <c r="U74" s="2">
        <v>1</v>
      </c>
      <c r="V74" s="10">
        <v>3</v>
      </c>
      <c r="W74" s="2">
        <v>2</v>
      </c>
      <c r="X74" s="2">
        <v>1</v>
      </c>
      <c r="Y74" s="11">
        <f t="shared" si="3"/>
        <v>6</v>
      </c>
      <c r="Z74" s="21">
        <f t="shared" si="4"/>
        <v>22</v>
      </c>
    </row>
    <row r="75" spans="1:26" ht="30" x14ac:dyDescent="0.25">
      <c r="A75" s="20">
        <v>74</v>
      </c>
      <c r="B75" s="1" t="s">
        <v>234</v>
      </c>
      <c r="C75" s="1" t="s">
        <v>278</v>
      </c>
      <c r="D75" s="17" t="s">
        <v>18</v>
      </c>
      <c r="E75" s="1" t="s">
        <v>37</v>
      </c>
      <c r="F75" s="15">
        <v>15</v>
      </c>
      <c r="G75" s="1" t="s">
        <v>121</v>
      </c>
      <c r="H75" s="1" t="s">
        <v>130</v>
      </c>
      <c r="I75" s="2">
        <v>1</v>
      </c>
      <c r="J75" s="2">
        <v>0</v>
      </c>
      <c r="K75" s="2">
        <v>1</v>
      </c>
      <c r="L75" s="2">
        <v>0</v>
      </c>
      <c r="M75" s="2">
        <v>1</v>
      </c>
      <c r="N75" s="2">
        <v>0</v>
      </c>
      <c r="O75" s="2">
        <v>1</v>
      </c>
      <c r="P75" s="2">
        <v>6</v>
      </c>
      <c r="Q75" s="2">
        <v>6</v>
      </c>
      <c r="R75" s="2">
        <v>0</v>
      </c>
      <c r="S75" s="2">
        <v>0</v>
      </c>
      <c r="T75" s="11">
        <v>6</v>
      </c>
      <c r="U75" s="2">
        <v>1</v>
      </c>
      <c r="V75" s="10">
        <v>9</v>
      </c>
      <c r="W75" s="2">
        <v>2</v>
      </c>
      <c r="X75" s="2">
        <v>1</v>
      </c>
      <c r="Y75" s="11">
        <f t="shared" si="3"/>
        <v>12</v>
      </c>
      <c r="Z75" s="21">
        <f t="shared" si="4"/>
        <v>19</v>
      </c>
    </row>
    <row r="76" spans="1:26" x14ac:dyDescent="0.25">
      <c r="A76" s="20">
        <v>75</v>
      </c>
      <c r="B76" s="1" t="s">
        <v>235</v>
      </c>
      <c r="C76" s="1" t="s">
        <v>279</v>
      </c>
      <c r="D76" s="1" t="s">
        <v>15</v>
      </c>
      <c r="E76" s="1" t="s">
        <v>37</v>
      </c>
      <c r="F76" s="2">
        <v>15.083333333333334</v>
      </c>
      <c r="G76" s="1" t="s">
        <v>137</v>
      </c>
      <c r="H76" s="1" t="s">
        <v>138</v>
      </c>
      <c r="I76" s="2">
        <v>2</v>
      </c>
      <c r="J76" s="2">
        <v>1</v>
      </c>
      <c r="K76" s="2">
        <v>0</v>
      </c>
      <c r="L76" s="2">
        <v>2</v>
      </c>
      <c r="M76" s="2">
        <v>2</v>
      </c>
      <c r="N76" s="2">
        <v>0</v>
      </c>
      <c r="O76" s="2">
        <v>1</v>
      </c>
      <c r="P76" s="2">
        <v>8</v>
      </c>
      <c r="Q76" s="2">
        <v>8</v>
      </c>
      <c r="R76" s="2">
        <v>6</v>
      </c>
      <c r="S76" s="2">
        <v>2</v>
      </c>
      <c r="T76" s="11">
        <v>16</v>
      </c>
      <c r="U76" s="2">
        <v>3</v>
      </c>
      <c r="V76" s="10">
        <v>12</v>
      </c>
      <c r="W76" s="2">
        <v>6</v>
      </c>
      <c r="X76" s="2">
        <v>1</v>
      </c>
      <c r="Y76" s="11">
        <f t="shared" si="3"/>
        <v>19</v>
      </c>
      <c r="Z76" s="21">
        <f t="shared" si="4"/>
        <v>38</v>
      </c>
    </row>
    <row r="77" spans="1:26" ht="30" x14ac:dyDescent="0.25">
      <c r="A77" s="20">
        <v>76</v>
      </c>
      <c r="B77" s="1" t="s">
        <v>236</v>
      </c>
      <c r="C77" s="1" t="s">
        <v>283</v>
      </c>
      <c r="D77" s="17" t="s">
        <v>18</v>
      </c>
      <c r="E77" s="1" t="s">
        <v>37</v>
      </c>
      <c r="F77" s="15">
        <v>13</v>
      </c>
      <c r="G77" s="1" t="s">
        <v>121</v>
      </c>
      <c r="H77" s="1" t="s">
        <v>131</v>
      </c>
      <c r="I77" s="2">
        <v>1</v>
      </c>
      <c r="J77" s="2">
        <v>0</v>
      </c>
      <c r="K77" s="2">
        <v>1</v>
      </c>
      <c r="L77" s="2">
        <v>0</v>
      </c>
      <c r="M77" s="2">
        <v>1</v>
      </c>
      <c r="N77" s="2">
        <v>0</v>
      </c>
      <c r="O77" s="2">
        <v>1</v>
      </c>
      <c r="P77" s="2">
        <v>5</v>
      </c>
      <c r="Q77" s="2">
        <v>5</v>
      </c>
      <c r="R77" s="2">
        <v>6</v>
      </c>
      <c r="S77" s="2">
        <v>0</v>
      </c>
      <c r="T77" s="11">
        <v>11</v>
      </c>
      <c r="U77" s="2">
        <v>1</v>
      </c>
      <c r="V77" s="10">
        <v>3</v>
      </c>
      <c r="W77" s="2">
        <v>2</v>
      </c>
      <c r="X77" s="2">
        <v>1</v>
      </c>
      <c r="Y77" s="11">
        <f t="shared" si="3"/>
        <v>6</v>
      </c>
      <c r="Z77" s="21">
        <f t="shared" si="4"/>
        <v>18</v>
      </c>
    </row>
    <row r="78" spans="1:26" ht="30" x14ac:dyDescent="0.25">
      <c r="A78" s="20">
        <v>77</v>
      </c>
      <c r="B78" s="1" t="s">
        <v>237</v>
      </c>
      <c r="C78" s="1" t="s">
        <v>84</v>
      </c>
      <c r="D78" s="17" t="s">
        <v>18</v>
      </c>
      <c r="E78" s="1" t="s">
        <v>73</v>
      </c>
      <c r="F78" s="15">
        <v>4.916666666666667</v>
      </c>
      <c r="G78" s="1" t="s">
        <v>137</v>
      </c>
      <c r="H78" s="1" t="s">
        <v>138</v>
      </c>
      <c r="I78" s="2">
        <v>1</v>
      </c>
      <c r="J78" s="2">
        <v>1</v>
      </c>
      <c r="K78" s="2">
        <v>0</v>
      </c>
      <c r="L78" s="2">
        <v>1</v>
      </c>
      <c r="M78" s="2">
        <v>3</v>
      </c>
      <c r="N78" s="2">
        <v>0</v>
      </c>
      <c r="O78" s="2">
        <v>1</v>
      </c>
      <c r="P78" s="2">
        <v>12</v>
      </c>
      <c r="Q78" s="2">
        <v>12</v>
      </c>
      <c r="R78" s="2">
        <v>0</v>
      </c>
      <c r="S78" s="2">
        <v>3</v>
      </c>
      <c r="T78" s="11">
        <v>15</v>
      </c>
      <c r="U78" s="2">
        <v>1</v>
      </c>
      <c r="V78" s="10">
        <v>3</v>
      </c>
      <c r="W78" s="2">
        <v>2</v>
      </c>
      <c r="X78" s="2">
        <v>1</v>
      </c>
      <c r="Y78" s="11">
        <f t="shared" si="3"/>
        <v>6</v>
      </c>
      <c r="Z78" s="21">
        <f t="shared" si="4"/>
        <v>22</v>
      </c>
    </row>
    <row r="79" spans="1:26" ht="30" x14ac:dyDescent="0.25">
      <c r="A79" s="20">
        <v>78</v>
      </c>
      <c r="B79" s="1" t="s">
        <v>238</v>
      </c>
      <c r="C79" s="1" t="s">
        <v>280</v>
      </c>
      <c r="D79" s="17" t="s">
        <v>18</v>
      </c>
      <c r="E79" s="1" t="s">
        <v>37</v>
      </c>
      <c r="F79" s="15">
        <v>8.5</v>
      </c>
      <c r="G79" s="1" t="s">
        <v>121</v>
      </c>
      <c r="H79" s="1" t="s">
        <v>132</v>
      </c>
      <c r="I79" s="2">
        <v>2</v>
      </c>
      <c r="J79" s="2">
        <v>1</v>
      </c>
      <c r="K79" s="2">
        <v>1</v>
      </c>
      <c r="L79" s="2">
        <v>0</v>
      </c>
      <c r="M79" s="2">
        <v>3.6</v>
      </c>
      <c r="N79" s="2">
        <v>0</v>
      </c>
      <c r="O79" s="2">
        <v>1</v>
      </c>
      <c r="P79" s="2">
        <v>15</v>
      </c>
      <c r="Q79" s="2">
        <v>6</v>
      </c>
      <c r="R79" s="2">
        <v>9</v>
      </c>
      <c r="S79" s="2">
        <v>0</v>
      </c>
      <c r="T79" s="11">
        <v>15</v>
      </c>
      <c r="U79" s="2">
        <v>1</v>
      </c>
      <c r="V79" s="10">
        <v>6</v>
      </c>
      <c r="W79" s="2">
        <v>2</v>
      </c>
      <c r="X79" s="2">
        <v>1</v>
      </c>
      <c r="Y79" s="11">
        <f t="shared" si="3"/>
        <v>9</v>
      </c>
      <c r="Z79" s="21">
        <f t="shared" si="4"/>
        <v>25</v>
      </c>
    </row>
    <row r="80" spans="1:26" ht="30" x14ac:dyDescent="0.25">
      <c r="A80" s="20">
        <v>79</v>
      </c>
      <c r="B80" s="1" t="s">
        <v>239</v>
      </c>
      <c r="C80" s="1" t="s">
        <v>85</v>
      </c>
      <c r="D80" s="17" t="s">
        <v>18</v>
      </c>
      <c r="E80" s="1" t="s">
        <v>73</v>
      </c>
      <c r="F80" s="15">
        <v>6.083333333333333</v>
      </c>
      <c r="G80" s="1" t="s">
        <v>137</v>
      </c>
      <c r="H80" s="1" t="s">
        <v>138</v>
      </c>
      <c r="I80" s="2">
        <v>1</v>
      </c>
      <c r="J80" s="2">
        <v>1</v>
      </c>
      <c r="K80" s="2">
        <v>0</v>
      </c>
      <c r="L80" s="2">
        <v>1</v>
      </c>
      <c r="M80" s="2">
        <v>3</v>
      </c>
      <c r="N80" s="2">
        <v>0</v>
      </c>
      <c r="O80" s="2">
        <v>1</v>
      </c>
      <c r="P80" s="2">
        <v>0</v>
      </c>
      <c r="Q80" s="2">
        <v>0</v>
      </c>
      <c r="R80" s="2">
        <v>9</v>
      </c>
      <c r="S80" s="2">
        <v>0</v>
      </c>
      <c r="T80" s="11">
        <v>9</v>
      </c>
      <c r="U80" s="2">
        <v>1</v>
      </c>
      <c r="V80" s="10">
        <v>2</v>
      </c>
      <c r="W80" s="2">
        <v>2</v>
      </c>
      <c r="X80" s="2">
        <v>1</v>
      </c>
      <c r="Y80" s="11">
        <f t="shared" si="3"/>
        <v>5</v>
      </c>
      <c r="Z80" s="21">
        <f t="shared" si="4"/>
        <v>15</v>
      </c>
    </row>
    <row r="81" spans="1:26" ht="30" x14ac:dyDescent="0.25">
      <c r="A81" s="20">
        <v>80</v>
      </c>
      <c r="B81" s="1" t="s">
        <v>240</v>
      </c>
      <c r="C81" s="1" t="s">
        <v>86</v>
      </c>
      <c r="D81" s="17" t="s">
        <v>18</v>
      </c>
      <c r="E81" s="1" t="s">
        <v>73</v>
      </c>
      <c r="F81" s="15">
        <v>8</v>
      </c>
      <c r="G81" s="1" t="s">
        <v>137</v>
      </c>
      <c r="H81" s="1" t="s">
        <v>138</v>
      </c>
      <c r="I81" s="2">
        <v>2</v>
      </c>
      <c r="J81" s="2">
        <v>1</v>
      </c>
      <c r="K81" s="2">
        <v>0</v>
      </c>
      <c r="L81" s="2">
        <v>2</v>
      </c>
      <c r="M81" s="2">
        <v>2</v>
      </c>
      <c r="N81" s="2">
        <v>0</v>
      </c>
      <c r="O81" s="2">
        <v>1</v>
      </c>
      <c r="P81" s="2">
        <v>8</v>
      </c>
      <c r="Q81" s="2">
        <v>8</v>
      </c>
      <c r="R81" s="2">
        <v>6</v>
      </c>
      <c r="S81" s="2">
        <v>2</v>
      </c>
      <c r="T81" s="11">
        <v>16</v>
      </c>
      <c r="U81" s="2">
        <v>1</v>
      </c>
      <c r="V81" s="10">
        <v>3</v>
      </c>
      <c r="W81" s="2">
        <v>2</v>
      </c>
      <c r="X81" s="2">
        <v>1</v>
      </c>
      <c r="Y81" s="11">
        <f t="shared" si="3"/>
        <v>6</v>
      </c>
      <c r="Z81" s="21">
        <f t="shared" si="4"/>
        <v>23</v>
      </c>
    </row>
    <row r="82" spans="1:26" ht="30" x14ac:dyDescent="0.25">
      <c r="A82" s="20">
        <v>81</v>
      </c>
      <c r="B82" s="1" t="s">
        <v>241</v>
      </c>
      <c r="C82" s="1" t="s">
        <v>87</v>
      </c>
      <c r="D82" s="17" t="s">
        <v>18</v>
      </c>
      <c r="E82" s="1" t="s">
        <v>73</v>
      </c>
      <c r="F82" s="15">
        <v>3.0833333333333335</v>
      </c>
      <c r="G82" s="1" t="s">
        <v>121</v>
      </c>
      <c r="H82" s="1" t="s">
        <v>138</v>
      </c>
      <c r="I82" s="2">
        <v>2</v>
      </c>
      <c r="J82" s="2">
        <v>0</v>
      </c>
      <c r="K82" s="2">
        <v>1</v>
      </c>
      <c r="L82" s="2">
        <v>0</v>
      </c>
      <c r="M82" s="2">
        <v>0.6</v>
      </c>
      <c r="N82" s="2">
        <v>0</v>
      </c>
      <c r="O82" s="2">
        <v>1</v>
      </c>
      <c r="P82" s="2">
        <v>5</v>
      </c>
      <c r="Q82" s="2">
        <v>5</v>
      </c>
      <c r="R82" s="2">
        <v>2</v>
      </c>
      <c r="S82" s="2">
        <v>0</v>
      </c>
      <c r="T82" s="11">
        <v>7</v>
      </c>
      <c r="U82" s="2">
        <v>1</v>
      </c>
      <c r="V82" s="10">
        <v>2</v>
      </c>
      <c r="W82" s="2">
        <v>2</v>
      </c>
      <c r="X82" s="2">
        <v>1</v>
      </c>
      <c r="Y82" s="11">
        <f t="shared" si="3"/>
        <v>5</v>
      </c>
      <c r="Z82" s="21">
        <f t="shared" si="4"/>
        <v>13</v>
      </c>
    </row>
    <row r="83" spans="1:26" ht="30" x14ac:dyDescent="0.25">
      <c r="A83" s="20">
        <v>82</v>
      </c>
      <c r="B83" s="1" t="s">
        <v>242</v>
      </c>
      <c r="C83" s="1" t="s">
        <v>88</v>
      </c>
      <c r="D83" s="17" t="s">
        <v>18</v>
      </c>
      <c r="E83" s="1" t="s">
        <v>39</v>
      </c>
      <c r="F83" s="15">
        <v>26</v>
      </c>
      <c r="G83" s="1" t="s">
        <v>121</v>
      </c>
      <c r="H83" s="1" t="s">
        <v>126</v>
      </c>
      <c r="I83" s="2">
        <v>2</v>
      </c>
      <c r="J83" s="2">
        <v>1</v>
      </c>
      <c r="K83" s="2">
        <v>2</v>
      </c>
      <c r="L83" s="2">
        <v>0</v>
      </c>
      <c r="M83" s="2">
        <v>2</v>
      </c>
      <c r="N83" s="2">
        <v>0</v>
      </c>
      <c r="O83" s="2">
        <v>1</v>
      </c>
      <c r="P83" s="2">
        <v>8</v>
      </c>
      <c r="Q83" s="2">
        <v>8</v>
      </c>
      <c r="R83" s="2">
        <v>7</v>
      </c>
      <c r="S83" s="2">
        <v>0</v>
      </c>
      <c r="T83" s="11">
        <v>15</v>
      </c>
      <c r="U83" s="2">
        <v>1</v>
      </c>
      <c r="V83" s="10">
        <v>2</v>
      </c>
      <c r="W83" s="2">
        <v>2</v>
      </c>
      <c r="X83" s="2">
        <v>1</v>
      </c>
      <c r="Y83" s="11">
        <f t="shared" si="3"/>
        <v>5</v>
      </c>
      <c r="Z83" s="21">
        <f t="shared" si="4"/>
        <v>21</v>
      </c>
    </row>
    <row r="84" spans="1:26" ht="30" x14ac:dyDescent="0.25">
      <c r="A84" s="20">
        <v>83</v>
      </c>
      <c r="B84" s="1" t="s">
        <v>243</v>
      </c>
      <c r="C84" s="1" t="s">
        <v>89</v>
      </c>
      <c r="D84" s="17" t="s">
        <v>18</v>
      </c>
      <c r="E84" s="1" t="s">
        <v>73</v>
      </c>
      <c r="F84" s="15">
        <v>8</v>
      </c>
      <c r="G84" s="1" t="s">
        <v>137</v>
      </c>
      <c r="H84" s="1" t="s">
        <v>138</v>
      </c>
      <c r="I84" s="2">
        <v>2</v>
      </c>
      <c r="J84" s="2">
        <v>0</v>
      </c>
      <c r="K84" s="2">
        <v>0</v>
      </c>
      <c r="L84" s="2">
        <v>2</v>
      </c>
      <c r="M84" s="2">
        <v>1</v>
      </c>
      <c r="N84" s="2">
        <v>0</v>
      </c>
      <c r="O84" s="2">
        <v>1</v>
      </c>
      <c r="P84" s="2">
        <v>4</v>
      </c>
      <c r="Q84" s="2">
        <v>4</v>
      </c>
      <c r="R84" s="2">
        <v>3</v>
      </c>
      <c r="S84" s="2">
        <v>1</v>
      </c>
      <c r="T84" s="11">
        <v>8</v>
      </c>
      <c r="U84" s="2">
        <v>1</v>
      </c>
      <c r="V84" s="10">
        <v>2</v>
      </c>
      <c r="W84" s="2">
        <v>2</v>
      </c>
      <c r="X84" s="2">
        <v>1</v>
      </c>
      <c r="Y84" s="11">
        <f t="shared" si="3"/>
        <v>5</v>
      </c>
      <c r="Z84" s="21">
        <f t="shared" si="4"/>
        <v>14</v>
      </c>
    </row>
    <row r="85" spans="1:26" ht="30" x14ac:dyDescent="0.25">
      <c r="A85" s="20">
        <v>84</v>
      </c>
      <c r="B85" s="1" t="s">
        <v>244</v>
      </c>
      <c r="C85" s="1" t="s">
        <v>90</v>
      </c>
      <c r="D85" s="17" t="s">
        <v>15</v>
      </c>
      <c r="E85" s="1" t="s">
        <v>73</v>
      </c>
      <c r="F85" s="15">
        <v>11.833333333333334</v>
      </c>
      <c r="G85" s="1" t="s">
        <v>137</v>
      </c>
      <c r="H85" s="1" t="s">
        <v>138</v>
      </c>
      <c r="I85" s="2">
        <v>1</v>
      </c>
      <c r="J85" s="2">
        <v>1</v>
      </c>
      <c r="K85" s="2">
        <v>0</v>
      </c>
      <c r="L85" s="2">
        <v>1</v>
      </c>
      <c r="M85" s="2">
        <v>3</v>
      </c>
      <c r="N85" s="2">
        <v>0</v>
      </c>
      <c r="O85" s="2">
        <v>1</v>
      </c>
      <c r="P85" s="2">
        <v>12</v>
      </c>
      <c r="Q85" s="2">
        <v>12</v>
      </c>
      <c r="R85" s="2">
        <v>0</v>
      </c>
      <c r="S85" s="2">
        <v>3</v>
      </c>
      <c r="T85" s="11">
        <v>15</v>
      </c>
      <c r="U85" s="2">
        <v>3</v>
      </c>
      <c r="V85" s="10">
        <v>4</v>
      </c>
      <c r="W85" s="2">
        <v>2</v>
      </c>
      <c r="X85" s="2">
        <v>1</v>
      </c>
      <c r="Y85" s="11">
        <f t="shared" si="3"/>
        <v>7</v>
      </c>
      <c r="Z85" s="21">
        <f t="shared" si="4"/>
        <v>25</v>
      </c>
    </row>
    <row r="86" spans="1:26" ht="30" x14ac:dyDescent="0.25">
      <c r="A86" s="20">
        <v>85</v>
      </c>
      <c r="B86" s="1" t="s">
        <v>245</v>
      </c>
      <c r="C86" s="1" t="s">
        <v>91</v>
      </c>
      <c r="D86" s="17" t="s">
        <v>18</v>
      </c>
      <c r="E86" s="1" t="s">
        <v>41</v>
      </c>
      <c r="F86" s="15">
        <v>11.666666666666666</v>
      </c>
      <c r="G86" s="1" t="s">
        <v>121</v>
      </c>
      <c r="H86" s="1" t="s">
        <v>129</v>
      </c>
      <c r="I86" s="2">
        <v>1</v>
      </c>
      <c r="J86" s="2">
        <v>1</v>
      </c>
      <c r="K86" s="2">
        <v>1</v>
      </c>
      <c r="L86" s="2">
        <v>0</v>
      </c>
      <c r="M86" s="2">
        <v>1</v>
      </c>
      <c r="N86" s="2">
        <v>0</v>
      </c>
      <c r="O86" s="2">
        <v>1</v>
      </c>
      <c r="P86" s="2">
        <v>5</v>
      </c>
      <c r="Q86" s="2">
        <v>5</v>
      </c>
      <c r="R86" s="2">
        <v>3</v>
      </c>
      <c r="S86" s="2">
        <v>0</v>
      </c>
      <c r="T86" s="11">
        <v>8</v>
      </c>
      <c r="U86" s="2">
        <v>1</v>
      </c>
      <c r="V86" s="10">
        <v>2</v>
      </c>
      <c r="W86" s="2">
        <v>2</v>
      </c>
      <c r="X86" s="2">
        <v>1</v>
      </c>
      <c r="Y86" s="11">
        <f t="shared" si="3"/>
        <v>5</v>
      </c>
      <c r="Z86" s="21">
        <f t="shared" si="4"/>
        <v>14</v>
      </c>
    </row>
    <row r="87" spans="1:26" ht="30" x14ac:dyDescent="0.25">
      <c r="A87" s="20">
        <v>86</v>
      </c>
      <c r="B87" s="1" t="s">
        <v>246</v>
      </c>
      <c r="C87" s="1" t="s">
        <v>92</v>
      </c>
      <c r="D87" s="17" t="s">
        <v>18</v>
      </c>
      <c r="E87" s="1" t="s">
        <v>73</v>
      </c>
      <c r="F87" s="15">
        <v>6.416666666666667</v>
      </c>
      <c r="G87" s="1" t="s">
        <v>137</v>
      </c>
      <c r="H87" s="1" t="s">
        <v>138</v>
      </c>
      <c r="I87" s="2">
        <v>1</v>
      </c>
      <c r="J87" s="2">
        <v>1</v>
      </c>
      <c r="K87" s="2">
        <v>0</v>
      </c>
      <c r="L87" s="2">
        <v>1</v>
      </c>
      <c r="M87" s="2">
        <v>2</v>
      </c>
      <c r="N87" s="2">
        <v>0</v>
      </c>
      <c r="O87" s="2">
        <v>1</v>
      </c>
      <c r="P87" s="2">
        <v>0</v>
      </c>
      <c r="Q87" s="2">
        <v>0</v>
      </c>
      <c r="R87" s="2">
        <v>12</v>
      </c>
      <c r="S87" s="2">
        <v>0</v>
      </c>
      <c r="T87" s="11">
        <v>12</v>
      </c>
      <c r="U87" s="2">
        <v>1</v>
      </c>
      <c r="V87" s="10">
        <v>2</v>
      </c>
      <c r="W87" s="2">
        <v>2</v>
      </c>
      <c r="X87" s="2">
        <v>1</v>
      </c>
      <c r="Y87" s="11">
        <f t="shared" si="3"/>
        <v>5</v>
      </c>
      <c r="Z87" s="21">
        <f t="shared" si="4"/>
        <v>18</v>
      </c>
    </row>
    <row r="88" spans="1:26" ht="30" x14ac:dyDescent="0.25">
      <c r="A88" s="20">
        <v>87</v>
      </c>
      <c r="B88" s="1" t="s">
        <v>247</v>
      </c>
      <c r="C88" s="1" t="s">
        <v>93</v>
      </c>
      <c r="D88" s="17" t="s">
        <v>18</v>
      </c>
      <c r="E88" s="1" t="s">
        <v>73</v>
      </c>
      <c r="F88" s="15">
        <v>9.5</v>
      </c>
      <c r="G88" s="1" t="s">
        <v>137</v>
      </c>
      <c r="H88" s="1" t="s">
        <v>138</v>
      </c>
      <c r="I88" s="2">
        <v>1</v>
      </c>
      <c r="J88" s="2">
        <v>1</v>
      </c>
      <c r="K88" s="2">
        <v>0</v>
      </c>
      <c r="L88" s="2">
        <v>1</v>
      </c>
      <c r="M88" s="2">
        <v>3</v>
      </c>
      <c r="N88" s="2">
        <v>0</v>
      </c>
      <c r="O88" s="2">
        <v>1</v>
      </c>
      <c r="P88" s="2">
        <v>0</v>
      </c>
      <c r="Q88" s="2">
        <v>0</v>
      </c>
      <c r="R88" s="2">
        <v>9</v>
      </c>
      <c r="S88" s="2">
        <v>0</v>
      </c>
      <c r="T88" s="11">
        <v>9</v>
      </c>
      <c r="U88" s="2">
        <v>1</v>
      </c>
      <c r="V88" s="10">
        <v>2</v>
      </c>
      <c r="W88" s="2">
        <v>2</v>
      </c>
      <c r="X88" s="2">
        <v>1</v>
      </c>
      <c r="Y88" s="11">
        <f t="shared" si="3"/>
        <v>5</v>
      </c>
      <c r="Z88" s="21">
        <f t="shared" si="4"/>
        <v>15</v>
      </c>
    </row>
    <row r="89" spans="1:26" ht="30" x14ac:dyDescent="0.25">
      <c r="A89" s="20">
        <v>88</v>
      </c>
      <c r="B89" s="1" t="s">
        <v>248</v>
      </c>
      <c r="C89" s="1" t="s">
        <v>94</v>
      </c>
      <c r="D89" s="17" t="s">
        <v>18</v>
      </c>
      <c r="E89" s="1" t="s">
        <v>38</v>
      </c>
      <c r="F89" s="15">
        <v>6</v>
      </c>
      <c r="G89" s="1" t="s">
        <v>121</v>
      </c>
      <c r="H89" s="1" t="s">
        <v>140</v>
      </c>
      <c r="I89" s="2">
        <v>3</v>
      </c>
      <c r="J89" s="2">
        <v>0</v>
      </c>
      <c r="K89" s="2">
        <v>0</v>
      </c>
      <c r="L89" s="2">
        <v>3</v>
      </c>
      <c r="M89" s="2">
        <v>1.28</v>
      </c>
      <c r="N89" s="2">
        <v>0</v>
      </c>
      <c r="O89" s="2">
        <v>1</v>
      </c>
      <c r="P89" s="2">
        <v>11</v>
      </c>
      <c r="Q89" s="2">
        <v>11</v>
      </c>
      <c r="R89" s="2">
        <v>0</v>
      </c>
      <c r="S89" s="2">
        <v>0</v>
      </c>
      <c r="T89" s="11">
        <v>11</v>
      </c>
      <c r="U89" s="2">
        <v>1</v>
      </c>
      <c r="V89" s="10">
        <v>2</v>
      </c>
      <c r="W89" s="2">
        <v>2</v>
      </c>
      <c r="X89" s="2">
        <v>1</v>
      </c>
      <c r="Y89" s="11">
        <f t="shared" si="3"/>
        <v>5</v>
      </c>
      <c r="Z89" s="21">
        <f t="shared" si="4"/>
        <v>17</v>
      </c>
    </row>
    <row r="90" spans="1:26" ht="30" x14ac:dyDescent="0.25">
      <c r="A90" s="20">
        <v>89</v>
      </c>
      <c r="B90" s="1" t="s">
        <v>249</v>
      </c>
      <c r="C90" s="1" t="s">
        <v>95</v>
      </c>
      <c r="D90" s="17" t="s">
        <v>18</v>
      </c>
      <c r="E90" s="1" t="s">
        <v>73</v>
      </c>
      <c r="F90" s="15">
        <v>5.416666666666667</v>
      </c>
      <c r="G90" s="1" t="s">
        <v>137</v>
      </c>
      <c r="H90" s="1" t="s">
        <v>138</v>
      </c>
      <c r="I90" s="2">
        <v>1</v>
      </c>
      <c r="J90" s="2">
        <v>1</v>
      </c>
      <c r="K90" s="2">
        <v>0</v>
      </c>
      <c r="L90" s="2">
        <v>1</v>
      </c>
      <c r="M90" s="2">
        <v>2</v>
      </c>
      <c r="N90" s="2">
        <v>0</v>
      </c>
      <c r="O90" s="2">
        <v>1</v>
      </c>
      <c r="P90" s="2">
        <v>0</v>
      </c>
      <c r="Q90" s="2">
        <v>0</v>
      </c>
      <c r="R90" s="2">
        <v>6</v>
      </c>
      <c r="S90" s="2">
        <v>0</v>
      </c>
      <c r="T90" s="11">
        <v>6</v>
      </c>
      <c r="U90" s="2">
        <v>1</v>
      </c>
      <c r="V90" s="10">
        <v>2</v>
      </c>
      <c r="W90" s="2">
        <v>2</v>
      </c>
      <c r="X90" s="2">
        <v>1</v>
      </c>
      <c r="Y90" s="11">
        <f t="shared" si="3"/>
        <v>5</v>
      </c>
      <c r="Z90" s="21">
        <f t="shared" si="4"/>
        <v>12</v>
      </c>
    </row>
    <row r="91" spans="1:26" ht="30" x14ac:dyDescent="0.25">
      <c r="A91" s="20">
        <v>90</v>
      </c>
      <c r="B91" s="1" t="s">
        <v>250</v>
      </c>
      <c r="C91" s="1" t="s">
        <v>96</v>
      </c>
      <c r="D91" s="17" t="s">
        <v>18</v>
      </c>
      <c r="E91" s="1" t="s">
        <v>73</v>
      </c>
      <c r="F91" s="15">
        <v>10</v>
      </c>
      <c r="G91" s="1" t="s">
        <v>137</v>
      </c>
      <c r="H91" s="1" t="s">
        <v>138</v>
      </c>
      <c r="I91" s="2">
        <v>1</v>
      </c>
      <c r="J91" s="2">
        <v>1</v>
      </c>
      <c r="K91" s="2">
        <v>0</v>
      </c>
      <c r="L91" s="2">
        <v>1</v>
      </c>
      <c r="M91" s="2">
        <v>3</v>
      </c>
      <c r="N91" s="2">
        <v>0</v>
      </c>
      <c r="O91" s="2">
        <v>1</v>
      </c>
      <c r="P91" s="2">
        <v>0</v>
      </c>
      <c r="Q91" s="2">
        <v>0</v>
      </c>
      <c r="R91" s="2">
        <v>9</v>
      </c>
      <c r="S91" s="2">
        <v>0</v>
      </c>
      <c r="T91" s="11">
        <v>9</v>
      </c>
      <c r="U91" s="2">
        <v>1</v>
      </c>
      <c r="V91" s="10">
        <v>2</v>
      </c>
      <c r="W91" s="2">
        <v>2</v>
      </c>
      <c r="X91" s="2">
        <v>1</v>
      </c>
      <c r="Y91" s="11">
        <f t="shared" si="3"/>
        <v>5</v>
      </c>
      <c r="Z91" s="21">
        <f t="shared" si="4"/>
        <v>15</v>
      </c>
    </row>
    <row r="92" spans="1:26" ht="30" x14ac:dyDescent="0.25">
      <c r="A92" s="20">
        <v>91</v>
      </c>
      <c r="B92" s="1" t="s">
        <v>251</v>
      </c>
      <c r="C92" s="1" t="s">
        <v>97</v>
      </c>
      <c r="D92" s="17" t="s">
        <v>18</v>
      </c>
      <c r="E92" s="1" t="s">
        <v>73</v>
      </c>
      <c r="F92" s="15">
        <v>1.4166666666666667</v>
      </c>
      <c r="G92" s="1" t="s">
        <v>137</v>
      </c>
      <c r="H92" s="1" t="s">
        <v>138</v>
      </c>
      <c r="I92" s="2">
        <v>1</v>
      </c>
      <c r="J92" s="2">
        <v>1</v>
      </c>
      <c r="K92" s="2">
        <v>0</v>
      </c>
      <c r="L92" s="2">
        <v>1</v>
      </c>
      <c r="M92" s="2">
        <v>3</v>
      </c>
      <c r="N92" s="2">
        <v>1</v>
      </c>
      <c r="O92" s="2">
        <v>0</v>
      </c>
      <c r="P92" s="2">
        <v>0</v>
      </c>
      <c r="Q92" s="2">
        <v>0</v>
      </c>
      <c r="R92" s="2">
        <v>9</v>
      </c>
      <c r="S92" s="2">
        <v>0</v>
      </c>
      <c r="T92" s="11">
        <v>9</v>
      </c>
      <c r="U92" s="2">
        <v>1</v>
      </c>
      <c r="V92" s="10">
        <v>6</v>
      </c>
      <c r="W92" s="2">
        <v>2</v>
      </c>
      <c r="X92" s="2">
        <v>1</v>
      </c>
      <c r="Y92" s="11">
        <f t="shared" si="3"/>
        <v>9</v>
      </c>
      <c r="Z92" s="21">
        <f t="shared" si="4"/>
        <v>19</v>
      </c>
    </row>
    <row r="93" spans="1:26" ht="30" x14ac:dyDescent="0.25">
      <c r="A93" s="20">
        <v>92</v>
      </c>
      <c r="B93" s="1" t="s">
        <v>252</v>
      </c>
      <c r="C93" s="1" t="s">
        <v>98</v>
      </c>
      <c r="D93" s="17" t="s">
        <v>18</v>
      </c>
      <c r="E93" s="1" t="s">
        <v>73</v>
      </c>
      <c r="F93" s="15">
        <v>1.6666666666666667</v>
      </c>
      <c r="G93" s="1" t="s">
        <v>121</v>
      </c>
      <c r="H93" s="1" t="s">
        <v>142</v>
      </c>
      <c r="I93" s="2">
        <v>1</v>
      </c>
      <c r="J93" s="2">
        <v>1</v>
      </c>
      <c r="K93" s="2">
        <v>1</v>
      </c>
      <c r="L93" s="2">
        <v>0</v>
      </c>
      <c r="M93" s="2">
        <v>2</v>
      </c>
      <c r="N93" s="2">
        <v>1</v>
      </c>
      <c r="O93" s="2">
        <v>0</v>
      </c>
      <c r="P93" s="2">
        <v>10</v>
      </c>
      <c r="Q93" s="2">
        <v>10</v>
      </c>
      <c r="R93" s="2">
        <v>4</v>
      </c>
      <c r="S93" s="2">
        <v>0</v>
      </c>
      <c r="T93" s="11">
        <v>14</v>
      </c>
      <c r="U93" s="2">
        <v>1</v>
      </c>
      <c r="V93" s="10">
        <v>2</v>
      </c>
      <c r="W93" s="2">
        <v>2</v>
      </c>
      <c r="X93" s="2">
        <v>1</v>
      </c>
      <c r="Y93" s="11">
        <f t="shared" si="3"/>
        <v>5</v>
      </c>
      <c r="Z93" s="21">
        <f t="shared" si="4"/>
        <v>20</v>
      </c>
    </row>
    <row r="94" spans="1:26" ht="30" x14ac:dyDescent="0.25">
      <c r="A94" s="20">
        <v>93</v>
      </c>
      <c r="B94" s="1" t="s">
        <v>253</v>
      </c>
      <c r="C94" s="1" t="s">
        <v>99</v>
      </c>
      <c r="D94" s="17" t="s">
        <v>18</v>
      </c>
      <c r="E94" s="1" t="s">
        <v>73</v>
      </c>
      <c r="F94" s="15">
        <v>1.8333333333333333</v>
      </c>
      <c r="G94" s="1" t="s">
        <v>137</v>
      </c>
      <c r="H94" s="1" t="s">
        <v>138</v>
      </c>
      <c r="I94" s="2">
        <v>1</v>
      </c>
      <c r="J94" s="2">
        <v>1</v>
      </c>
      <c r="K94" s="2">
        <v>0</v>
      </c>
      <c r="L94" s="2">
        <v>1</v>
      </c>
      <c r="M94" s="2">
        <v>2</v>
      </c>
      <c r="N94" s="2">
        <v>1</v>
      </c>
      <c r="O94" s="2">
        <v>0</v>
      </c>
      <c r="P94" s="2">
        <v>0</v>
      </c>
      <c r="Q94" s="2">
        <v>0</v>
      </c>
      <c r="R94" s="2">
        <v>6</v>
      </c>
      <c r="S94" s="2">
        <v>0</v>
      </c>
      <c r="T94" s="11">
        <v>6</v>
      </c>
      <c r="U94" s="2">
        <v>1</v>
      </c>
      <c r="V94" s="10">
        <v>2</v>
      </c>
      <c r="W94" s="2">
        <v>2</v>
      </c>
      <c r="X94" s="2">
        <v>1</v>
      </c>
      <c r="Y94" s="11">
        <f t="shared" si="3"/>
        <v>5</v>
      </c>
      <c r="Z94" s="21">
        <f t="shared" si="4"/>
        <v>12</v>
      </c>
    </row>
    <row r="95" spans="1:26" ht="30" x14ac:dyDescent="0.25">
      <c r="A95" s="20">
        <v>94</v>
      </c>
      <c r="B95" s="1" t="s">
        <v>254</v>
      </c>
      <c r="C95" s="1" t="s">
        <v>100</v>
      </c>
      <c r="D95" s="17" t="s">
        <v>15</v>
      </c>
      <c r="E95" s="1" t="s">
        <v>114</v>
      </c>
      <c r="F95" s="15">
        <v>19</v>
      </c>
      <c r="G95" s="1" t="s">
        <v>137</v>
      </c>
      <c r="H95" s="1" t="s">
        <v>138</v>
      </c>
      <c r="I95" s="2">
        <v>2</v>
      </c>
      <c r="J95" s="2">
        <v>1</v>
      </c>
      <c r="K95" s="2">
        <v>0</v>
      </c>
      <c r="L95" s="2">
        <v>2</v>
      </c>
      <c r="M95" s="2">
        <v>2</v>
      </c>
      <c r="N95" s="2">
        <v>0</v>
      </c>
      <c r="O95" s="2">
        <v>1</v>
      </c>
      <c r="P95" s="2">
        <v>8</v>
      </c>
      <c r="Q95" s="2">
        <v>8</v>
      </c>
      <c r="R95" s="2">
        <v>6</v>
      </c>
      <c r="S95" s="2">
        <v>2</v>
      </c>
      <c r="T95" s="11">
        <v>16</v>
      </c>
      <c r="U95" s="2">
        <v>3</v>
      </c>
      <c r="V95" s="10">
        <v>3</v>
      </c>
      <c r="W95" s="2">
        <v>2</v>
      </c>
      <c r="X95" s="2">
        <v>1</v>
      </c>
      <c r="Y95" s="11">
        <f t="shared" si="3"/>
        <v>6</v>
      </c>
      <c r="Z95" s="21">
        <f t="shared" si="4"/>
        <v>25</v>
      </c>
    </row>
    <row r="96" spans="1:26" ht="30" x14ac:dyDescent="0.25">
      <c r="A96" s="20">
        <v>95</v>
      </c>
      <c r="B96" s="1" t="s">
        <v>255</v>
      </c>
      <c r="C96" s="1" t="s">
        <v>101</v>
      </c>
      <c r="D96" s="17" t="s">
        <v>18</v>
      </c>
      <c r="E96" s="1" t="s">
        <v>114</v>
      </c>
      <c r="F96" s="15">
        <v>5.916666666666667</v>
      </c>
      <c r="G96" s="1" t="s">
        <v>133</v>
      </c>
      <c r="H96" s="1" t="s">
        <v>135</v>
      </c>
      <c r="I96" s="2">
        <v>2</v>
      </c>
      <c r="J96" s="2">
        <v>0</v>
      </c>
      <c r="K96" s="2">
        <v>0</v>
      </c>
      <c r="L96" s="2">
        <v>1</v>
      </c>
      <c r="M96" s="2">
        <v>0.83</v>
      </c>
      <c r="N96" s="2">
        <v>0</v>
      </c>
      <c r="O96" s="2">
        <v>1</v>
      </c>
      <c r="P96" s="2">
        <v>5</v>
      </c>
      <c r="Q96" s="2">
        <v>5</v>
      </c>
      <c r="R96" s="2">
        <v>3</v>
      </c>
      <c r="S96" s="2">
        <v>0</v>
      </c>
      <c r="T96" s="11">
        <v>8</v>
      </c>
      <c r="U96" s="2">
        <v>1</v>
      </c>
      <c r="V96" s="10">
        <v>2</v>
      </c>
      <c r="W96" s="2">
        <v>2</v>
      </c>
      <c r="X96" s="2">
        <v>1</v>
      </c>
      <c r="Y96" s="11">
        <f t="shared" si="3"/>
        <v>5</v>
      </c>
      <c r="Z96" s="21">
        <f t="shared" si="4"/>
        <v>14</v>
      </c>
    </row>
    <row r="97" spans="1:26" ht="30" x14ac:dyDescent="0.25">
      <c r="A97" s="20">
        <v>96</v>
      </c>
      <c r="B97" s="1" t="s">
        <v>256</v>
      </c>
      <c r="C97" s="1" t="s">
        <v>102</v>
      </c>
      <c r="D97" s="17" t="s">
        <v>18</v>
      </c>
      <c r="E97" s="1" t="s">
        <v>73</v>
      </c>
      <c r="F97" s="15">
        <v>5</v>
      </c>
      <c r="G97" s="1" t="s">
        <v>137</v>
      </c>
      <c r="H97" s="1" t="s">
        <v>138</v>
      </c>
      <c r="I97" s="2">
        <v>1</v>
      </c>
      <c r="J97" s="2">
        <v>1</v>
      </c>
      <c r="K97" s="2">
        <v>0</v>
      </c>
      <c r="L97" s="2">
        <v>1</v>
      </c>
      <c r="M97" s="2">
        <v>2</v>
      </c>
      <c r="N97" s="2">
        <v>0</v>
      </c>
      <c r="O97" s="2">
        <v>1</v>
      </c>
      <c r="P97" s="2">
        <v>0</v>
      </c>
      <c r="Q97" s="2">
        <v>0</v>
      </c>
      <c r="R97" s="2">
        <v>12</v>
      </c>
      <c r="S97" s="2">
        <v>0</v>
      </c>
      <c r="T97" s="11">
        <v>12</v>
      </c>
      <c r="U97" s="2">
        <v>1</v>
      </c>
      <c r="V97" s="10">
        <v>1</v>
      </c>
      <c r="W97" s="2">
        <v>2</v>
      </c>
      <c r="X97" s="2">
        <v>1</v>
      </c>
      <c r="Y97" s="11">
        <f t="shared" si="3"/>
        <v>4</v>
      </c>
      <c r="Z97" s="21">
        <f t="shared" si="4"/>
        <v>17</v>
      </c>
    </row>
    <row r="98" spans="1:26" ht="30" x14ac:dyDescent="0.25">
      <c r="A98" s="20">
        <v>97</v>
      </c>
      <c r="B98" s="1" t="s">
        <v>257</v>
      </c>
      <c r="C98" s="1" t="s">
        <v>103</v>
      </c>
      <c r="D98" s="17" t="s">
        <v>18</v>
      </c>
      <c r="E98" s="1" t="s">
        <v>73</v>
      </c>
      <c r="F98" s="15">
        <v>2.4166666666666665</v>
      </c>
      <c r="G98" s="1" t="s">
        <v>137</v>
      </c>
      <c r="H98" s="1" t="s">
        <v>138</v>
      </c>
      <c r="I98" s="2">
        <v>1</v>
      </c>
      <c r="J98" s="2">
        <v>1</v>
      </c>
      <c r="K98" s="2">
        <v>0</v>
      </c>
      <c r="L98" s="2">
        <v>1</v>
      </c>
      <c r="M98" s="2">
        <v>2</v>
      </c>
      <c r="N98" s="2">
        <v>0</v>
      </c>
      <c r="O98" s="2">
        <v>1</v>
      </c>
      <c r="P98" s="2">
        <v>0</v>
      </c>
      <c r="Q98" s="2">
        <v>0</v>
      </c>
      <c r="R98" s="2">
        <v>6</v>
      </c>
      <c r="S98" s="2">
        <v>0</v>
      </c>
      <c r="T98" s="11">
        <v>6</v>
      </c>
      <c r="U98" s="2">
        <v>1</v>
      </c>
      <c r="V98" s="10">
        <v>2</v>
      </c>
      <c r="W98" s="2">
        <v>2</v>
      </c>
      <c r="X98" s="2">
        <v>1</v>
      </c>
      <c r="Y98" s="11">
        <f t="shared" si="3"/>
        <v>5</v>
      </c>
      <c r="Z98" s="21">
        <f t="shared" ref="Z98:Z110" si="5">SUM(T98,U98,Y98)</f>
        <v>12</v>
      </c>
    </row>
    <row r="99" spans="1:26" ht="30" x14ac:dyDescent="0.25">
      <c r="A99" s="20">
        <v>98</v>
      </c>
      <c r="B99" s="1" t="s">
        <v>258</v>
      </c>
      <c r="C99" s="1" t="s">
        <v>104</v>
      </c>
      <c r="D99" s="17" t="s">
        <v>18</v>
      </c>
      <c r="E99" s="1" t="s">
        <v>73</v>
      </c>
      <c r="F99" s="15">
        <v>5.916666666666667</v>
      </c>
      <c r="G99" s="1" t="s">
        <v>133</v>
      </c>
      <c r="H99" s="1" t="s">
        <v>141</v>
      </c>
      <c r="I99" s="2">
        <v>2</v>
      </c>
      <c r="J99" s="2">
        <v>0</v>
      </c>
      <c r="K99" s="2">
        <v>0</v>
      </c>
      <c r="L99" s="2">
        <v>2</v>
      </c>
      <c r="M99" s="2">
        <v>2</v>
      </c>
      <c r="N99" s="2">
        <v>0</v>
      </c>
      <c r="O99" s="2">
        <v>1</v>
      </c>
      <c r="P99" s="2">
        <v>5</v>
      </c>
      <c r="Q99" s="2">
        <v>5</v>
      </c>
      <c r="R99" s="2">
        <v>3</v>
      </c>
      <c r="S99" s="2">
        <v>0</v>
      </c>
      <c r="T99" s="11">
        <v>8</v>
      </c>
      <c r="U99" s="2">
        <v>1</v>
      </c>
      <c r="V99" s="10">
        <v>1</v>
      </c>
      <c r="W99" s="2">
        <v>2</v>
      </c>
      <c r="X99" s="2">
        <v>1</v>
      </c>
      <c r="Y99" s="11">
        <f t="shared" si="3"/>
        <v>4</v>
      </c>
      <c r="Z99" s="21">
        <f t="shared" si="5"/>
        <v>13</v>
      </c>
    </row>
    <row r="100" spans="1:26" ht="30" x14ac:dyDescent="0.25">
      <c r="A100" s="20">
        <v>99</v>
      </c>
      <c r="B100" s="1" t="s">
        <v>259</v>
      </c>
      <c r="C100" s="1" t="s">
        <v>105</v>
      </c>
      <c r="D100" s="17" t="s">
        <v>18</v>
      </c>
      <c r="E100" s="1" t="s">
        <v>73</v>
      </c>
      <c r="F100" s="15">
        <v>3.9166666666666665</v>
      </c>
      <c r="G100" s="1" t="s">
        <v>137</v>
      </c>
      <c r="H100" s="1" t="s">
        <v>138</v>
      </c>
      <c r="I100" s="2">
        <v>1</v>
      </c>
      <c r="J100" s="2">
        <v>0</v>
      </c>
      <c r="K100" s="2">
        <v>0</v>
      </c>
      <c r="L100" s="2">
        <v>1</v>
      </c>
      <c r="M100" s="2">
        <v>1</v>
      </c>
      <c r="N100" s="2">
        <v>1</v>
      </c>
      <c r="O100" s="2">
        <v>0</v>
      </c>
      <c r="P100" s="2">
        <v>0</v>
      </c>
      <c r="Q100" s="2">
        <v>0</v>
      </c>
      <c r="R100" s="2">
        <v>6</v>
      </c>
      <c r="S100" s="2">
        <v>0</v>
      </c>
      <c r="T100" s="11">
        <v>6</v>
      </c>
      <c r="U100" s="2">
        <v>1</v>
      </c>
      <c r="V100" s="10">
        <v>1</v>
      </c>
      <c r="W100" s="2">
        <v>2</v>
      </c>
      <c r="X100" s="2">
        <v>1</v>
      </c>
      <c r="Y100" s="11">
        <f t="shared" si="3"/>
        <v>4</v>
      </c>
      <c r="Z100" s="21">
        <f t="shared" si="5"/>
        <v>11</v>
      </c>
    </row>
    <row r="101" spans="1:26" ht="30" x14ac:dyDescent="0.25">
      <c r="A101" s="20">
        <v>100</v>
      </c>
      <c r="B101" s="1" t="s">
        <v>260</v>
      </c>
      <c r="C101" s="1" t="s">
        <v>106</v>
      </c>
      <c r="D101" s="17" t="s">
        <v>18</v>
      </c>
      <c r="E101" s="1" t="s">
        <v>73</v>
      </c>
      <c r="F101" s="15">
        <v>6</v>
      </c>
      <c r="G101" s="1" t="s">
        <v>137</v>
      </c>
      <c r="H101" s="1" t="s">
        <v>138</v>
      </c>
      <c r="I101" s="2">
        <v>2</v>
      </c>
      <c r="J101" s="2">
        <v>0</v>
      </c>
      <c r="K101" s="2">
        <v>0</v>
      </c>
      <c r="L101" s="2">
        <v>1</v>
      </c>
      <c r="M101" s="2">
        <v>1</v>
      </c>
      <c r="N101" s="2">
        <v>0</v>
      </c>
      <c r="O101" s="2">
        <v>1</v>
      </c>
      <c r="P101" s="2">
        <v>4</v>
      </c>
      <c r="Q101" s="2">
        <v>4</v>
      </c>
      <c r="R101" s="2">
        <v>3</v>
      </c>
      <c r="S101" s="2">
        <v>1</v>
      </c>
      <c r="T101" s="11">
        <v>8</v>
      </c>
      <c r="U101" s="2">
        <v>1</v>
      </c>
      <c r="V101" s="10">
        <v>2</v>
      </c>
      <c r="W101" s="2">
        <v>2</v>
      </c>
      <c r="X101" s="2">
        <v>1</v>
      </c>
      <c r="Y101" s="11">
        <f t="shared" si="3"/>
        <v>5</v>
      </c>
      <c r="Z101" s="21">
        <f t="shared" si="5"/>
        <v>14</v>
      </c>
    </row>
    <row r="102" spans="1:26" x14ac:dyDescent="0.25">
      <c r="A102" s="20">
        <v>101</v>
      </c>
      <c r="B102" s="1" t="s">
        <v>261</v>
      </c>
      <c r="C102" s="1" t="s">
        <v>282</v>
      </c>
      <c r="D102" s="1" t="s">
        <v>17</v>
      </c>
      <c r="E102" s="1" t="s">
        <v>37</v>
      </c>
      <c r="F102" s="2">
        <v>21.833333333333332</v>
      </c>
      <c r="G102" s="1" t="s">
        <v>137</v>
      </c>
      <c r="H102" s="1" t="s">
        <v>138</v>
      </c>
      <c r="I102" s="2">
        <v>0</v>
      </c>
      <c r="J102" s="2">
        <v>0</v>
      </c>
      <c r="K102" s="2">
        <v>0</v>
      </c>
      <c r="L102" s="2">
        <v>0</v>
      </c>
      <c r="M102" s="2">
        <v>1</v>
      </c>
      <c r="N102" s="2"/>
      <c r="O102" s="2"/>
      <c r="P102" s="2">
        <v>0</v>
      </c>
      <c r="Q102" s="2">
        <v>0</v>
      </c>
      <c r="R102" s="2">
        <v>0</v>
      </c>
      <c r="S102" s="2">
        <v>0</v>
      </c>
      <c r="T102" s="11">
        <v>0</v>
      </c>
      <c r="U102" s="2">
        <v>5</v>
      </c>
      <c r="V102" s="10">
        <v>5</v>
      </c>
      <c r="W102" s="2">
        <v>8</v>
      </c>
      <c r="X102" s="2" t="s">
        <v>139</v>
      </c>
      <c r="Y102" s="11">
        <f t="shared" si="3"/>
        <v>13</v>
      </c>
      <c r="Z102" s="21">
        <f t="shared" si="5"/>
        <v>18</v>
      </c>
    </row>
    <row r="103" spans="1:26" ht="30" x14ac:dyDescent="0.25">
      <c r="A103" s="20">
        <v>102</v>
      </c>
      <c r="B103" s="1" t="s">
        <v>262</v>
      </c>
      <c r="C103" s="1" t="s">
        <v>107</v>
      </c>
      <c r="D103" s="17" t="s">
        <v>18</v>
      </c>
      <c r="E103" s="1" t="s">
        <v>73</v>
      </c>
      <c r="F103" s="2">
        <v>5.75</v>
      </c>
      <c r="G103" s="1" t="s">
        <v>121</v>
      </c>
      <c r="H103" s="1" t="s">
        <v>142</v>
      </c>
      <c r="I103" s="2">
        <v>1</v>
      </c>
      <c r="J103" s="2">
        <v>1</v>
      </c>
      <c r="K103" s="2">
        <v>1</v>
      </c>
      <c r="L103" s="2">
        <v>0</v>
      </c>
      <c r="M103" s="2">
        <v>2</v>
      </c>
      <c r="N103" s="2">
        <v>0</v>
      </c>
      <c r="O103" s="2">
        <v>1</v>
      </c>
      <c r="P103" s="2">
        <v>10</v>
      </c>
      <c r="Q103" s="2">
        <v>10</v>
      </c>
      <c r="R103" s="2">
        <v>4</v>
      </c>
      <c r="S103" s="2">
        <v>0</v>
      </c>
      <c r="T103" s="11">
        <v>14</v>
      </c>
      <c r="U103" s="2">
        <v>1</v>
      </c>
      <c r="V103" s="10">
        <v>2</v>
      </c>
      <c r="W103" s="2">
        <v>2</v>
      </c>
      <c r="X103" s="2">
        <v>1</v>
      </c>
      <c r="Y103" s="11">
        <f t="shared" si="3"/>
        <v>5</v>
      </c>
      <c r="Z103" s="21">
        <f t="shared" si="5"/>
        <v>20</v>
      </c>
    </row>
    <row r="104" spans="1:26" ht="30" x14ac:dyDescent="0.25">
      <c r="A104" s="20">
        <v>103</v>
      </c>
      <c r="B104" s="1" t="s">
        <v>263</v>
      </c>
      <c r="C104" s="1" t="s">
        <v>108</v>
      </c>
      <c r="D104" s="17" t="s">
        <v>18</v>
      </c>
      <c r="E104" s="1" t="s">
        <v>73</v>
      </c>
      <c r="F104" s="2">
        <v>1.4166666666666667</v>
      </c>
      <c r="G104" s="1" t="s">
        <v>137</v>
      </c>
      <c r="H104" s="1" t="s">
        <v>138</v>
      </c>
      <c r="I104" s="2">
        <v>2</v>
      </c>
      <c r="J104" s="2">
        <v>0</v>
      </c>
      <c r="K104" s="2">
        <v>0</v>
      </c>
      <c r="L104" s="2">
        <v>1</v>
      </c>
      <c r="M104" s="2">
        <v>1</v>
      </c>
      <c r="N104" s="2">
        <v>1</v>
      </c>
      <c r="O104" s="2">
        <v>0</v>
      </c>
      <c r="P104" s="2">
        <v>4</v>
      </c>
      <c r="Q104" s="2">
        <v>4</v>
      </c>
      <c r="R104" s="2">
        <v>3</v>
      </c>
      <c r="S104" s="2">
        <v>1</v>
      </c>
      <c r="T104" s="11">
        <v>8</v>
      </c>
      <c r="U104" s="2">
        <v>1</v>
      </c>
      <c r="V104" s="10">
        <v>2</v>
      </c>
      <c r="W104" s="2">
        <v>2</v>
      </c>
      <c r="X104" s="2">
        <v>1</v>
      </c>
      <c r="Y104" s="11">
        <f t="shared" si="3"/>
        <v>5</v>
      </c>
      <c r="Z104" s="21">
        <f t="shared" si="5"/>
        <v>14</v>
      </c>
    </row>
    <row r="105" spans="1:26" ht="30" x14ac:dyDescent="0.25">
      <c r="A105" s="20">
        <v>104</v>
      </c>
      <c r="B105" s="1" t="s">
        <v>264</v>
      </c>
      <c r="C105" s="1" t="s">
        <v>109</v>
      </c>
      <c r="D105" s="17" t="s">
        <v>18</v>
      </c>
      <c r="E105" s="1" t="s">
        <v>73</v>
      </c>
      <c r="F105" s="2">
        <v>1.4166666666666667</v>
      </c>
      <c r="G105" s="1" t="s">
        <v>137</v>
      </c>
      <c r="H105" s="1" t="s">
        <v>138</v>
      </c>
      <c r="I105" s="2">
        <v>1</v>
      </c>
      <c r="J105" s="2">
        <v>1</v>
      </c>
      <c r="K105" s="2">
        <v>0</v>
      </c>
      <c r="L105" s="2">
        <v>1</v>
      </c>
      <c r="M105" s="2">
        <v>3</v>
      </c>
      <c r="N105" s="2">
        <v>0</v>
      </c>
      <c r="O105" s="2">
        <v>1</v>
      </c>
      <c r="P105" s="2">
        <v>0</v>
      </c>
      <c r="Q105" s="2">
        <v>9</v>
      </c>
      <c r="R105" s="2">
        <v>0</v>
      </c>
      <c r="S105" s="2">
        <v>0</v>
      </c>
      <c r="T105" s="11">
        <v>9</v>
      </c>
      <c r="U105" s="2">
        <v>1</v>
      </c>
      <c r="V105" s="10">
        <v>1</v>
      </c>
      <c r="W105" s="2">
        <v>2</v>
      </c>
      <c r="X105" s="2">
        <v>1</v>
      </c>
      <c r="Y105" s="11">
        <f t="shared" si="3"/>
        <v>4</v>
      </c>
      <c r="Z105" s="21">
        <f t="shared" si="5"/>
        <v>14</v>
      </c>
    </row>
    <row r="106" spans="1:26" ht="30" x14ac:dyDescent="0.25">
      <c r="A106" s="20">
        <v>105</v>
      </c>
      <c r="B106" s="1" t="s">
        <v>265</v>
      </c>
      <c r="C106" s="1" t="s">
        <v>110</v>
      </c>
      <c r="D106" s="17" t="s">
        <v>18</v>
      </c>
      <c r="E106" s="1" t="s">
        <v>73</v>
      </c>
      <c r="F106" s="2">
        <v>4</v>
      </c>
      <c r="G106" s="1" t="s">
        <v>137</v>
      </c>
      <c r="H106" s="1" t="s">
        <v>143</v>
      </c>
      <c r="I106" s="2">
        <v>1</v>
      </c>
      <c r="J106" s="2">
        <v>1</v>
      </c>
      <c r="K106" s="2">
        <v>0</v>
      </c>
      <c r="L106" s="2">
        <v>1</v>
      </c>
      <c r="M106" s="2">
        <v>2</v>
      </c>
      <c r="N106" s="2">
        <v>0</v>
      </c>
      <c r="O106" s="2">
        <v>1</v>
      </c>
      <c r="P106" s="2">
        <v>0</v>
      </c>
      <c r="Q106" s="2">
        <v>0</v>
      </c>
      <c r="R106" s="2">
        <v>6</v>
      </c>
      <c r="S106" s="2">
        <v>0</v>
      </c>
      <c r="T106" s="11">
        <v>6</v>
      </c>
      <c r="U106" s="2">
        <v>1</v>
      </c>
      <c r="V106" s="10">
        <v>2</v>
      </c>
      <c r="W106" s="2">
        <v>2</v>
      </c>
      <c r="X106" s="2">
        <v>1</v>
      </c>
      <c r="Y106" s="11">
        <f t="shared" si="3"/>
        <v>5</v>
      </c>
      <c r="Z106" s="21">
        <f t="shared" si="5"/>
        <v>12</v>
      </c>
    </row>
    <row r="107" spans="1:26" ht="30" x14ac:dyDescent="0.25">
      <c r="A107" s="20">
        <v>106</v>
      </c>
      <c r="B107" s="1" t="s">
        <v>266</v>
      </c>
      <c r="C107" s="1" t="s">
        <v>111</v>
      </c>
      <c r="D107" s="17" t="s">
        <v>18</v>
      </c>
      <c r="E107" s="1" t="s">
        <v>73</v>
      </c>
      <c r="F107" s="2">
        <v>2</v>
      </c>
      <c r="G107" s="1" t="s">
        <v>133</v>
      </c>
      <c r="H107" s="1" t="s">
        <v>135</v>
      </c>
      <c r="I107" s="2">
        <v>1</v>
      </c>
      <c r="J107" s="2">
        <v>0</v>
      </c>
      <c r="K107" s="2">
        <v>0</v>
      </c>
      <c r="L107" s="2">
        <v>1</v>
      </c>
      <c r="M107" s="2">
        <v>0.38</v>
      </c>
      <c r="N107" s="2">
        <v>1</v>
      </c>
      <c r="O107" s="2">
        <v>0</v>
      </c>
      <c r="P107" s="2">
        <v>5</v>
      </c>
      <c r="Q107" s="2">
        <v>5</v>
      </c>
      <c r="R107" s="2">
        <v>0</v>
      </c>
      <c r="S107" s="2">
        <v>0</v>
      </c>
      <c r="T107" s="11">
        <v>5</v>
      </c>
      <c r="U107" s="2">
        <v>1</v>
      </c>
      <c r="V107" s="10">
        <v>1</v>
      </c>
      <c r="W107" s="2">
        <v>2</v>
      </c>
      <c r="X107" s="2">
        <v>1</v>
      </c>
      <c r="Y107" s="11">
        <f t="shared" si="3"/>
        <v>4</v>
      </c>
      <c r="Z107" s="21">
        <f t="shared" si="5"/>
        <v>10</v>
      </c>
    </row>
    <row r="108" spans="1:26" x14ac:dyDescent="0.25">
      <c r="A108" s="20">
        <v>107</v>
      </c>
      <c r="B108" s="1" t="s">
        <v>267</v>
      </c>
      <c r="C108" s="1" t="s">
        <v>281</v>
      </c>
      <c r="D108" s="1" t="s">
        <v>18</v>
      </c>
      <c r="E108" s="1" t="s">
        <v>37</v>
      </c>
      <c r="F108" s="2">
        <v>16</v>
      </c>
      <c r="G108" s="1" t="s">
        <v>133</v>
      </c>
      <c r="H108" s="1" t="s">
        <v>135</v>
      </c>
      <c r="I108" s="2">
        <v>1</v>
      </c>
      <c r="J108" s="2">
        <v>0</v>
      </c>
      <c r="K108" s="2">
        <v>0</v>
      </c>
      <c r="L108" s="2">
        <v>1</v>
      </c>
      <c r="M108" s="2">
        <v>1</v>
      </c>
      <c r="N108" s="2">
        <v>0</v>
      </c>
      <c r="O108" s="2">
        <v>1</v>
      </c>
      <c r="P108" s="2">
        <v>5</v>
      </c>
      <c r="Q108" s="2">
        <v>5</v>
      </c>
      <c r="R108" s="2">
        <v>0</v>
      </c>
      <c r="S108" s="2">
        <v>0</v>
      </c>
      <c r="T108" s="11">
        <v>5</v>
      </c>
      <c r="U108" s="2">
        <v>1</v>
      </c>
      <c r="V108" s="10">
        <v>8</v>
      </c>
      <c r="W108" s="2">
        <v>6</v>
      </c>
      <c r="X108" s="2">
        <v>1</v>
      </c>
      <c r="Y108" s="11">
        <f t="shared" si="3"/>
        <v>15</v>
      </c>
      <c r="Z108" s="21">
        <f t="shared" si="5"/>
        <v>21</v>
      </c>
    </row>
    <row r="109" spans="1:26" ht="30" x14ac:dyDescent="0.25">
      <c r="A109" s="20">
        <v>108</v>
      </c>
      <c r="B109" s="1" t="s">
        <v>268</v>
      </c>
      <c r="C109" s="1" t="s">
        <v>112</v>
      </c>
      <c r="D109" s="17" t="s">
        <v>18</v>
      </c>
      <c r="E109" s="1" t="s">
        <v>73</v>
      </c>
      <c r="F109" s="2">
        <v>4.083333333333333</v>
      </c>
      <c r="G109" s="1" t="s">
        <v>133</v>
      </c>
      <c r="H109" s="1" t="s">
        <v>135</v>
      </c>
      <c r="I109" s="2">
        <v>2</v>
      </c>
      <c r="J109" s="2">
        <v>0</v>
      </c>
      <c r="K109" s="2">
        <v>0</v>
      </c>
      <c r="L109" s="2">
        <v>2</v>
      </c>
      <c r="M109" s="2">
        <v>1.38</v>
      </c>
      <c r="N109" s="2">
        <v>1</v>
      </c>
      <c r="O109" s="2">
        <v>0</v>
      </c>
      <c r="P109" s="2">
        <v>0</v>
      </c>
      <c r="Q109" s="2">
        <v>0</v>
      </c>
      <c r="R109" s="2">
        <v>6</v>
      </c>
      <c r="S109" s="2">
        <v>0</v>
      </c>
      <c r="T109" s="11">
        <v>6</v>
      </c>
      <c r="U109" s="2">
        <v>1</v>
      </c>
      <c r="V109" s="10">
        <v>1</v>
      </c>
      <c r="W109" s="2">
        <v>2</v>
      </c>
      <c r="X109" s="2">
        <v>1</v>
      </c>
      <c r="Y109" s="11">
        <f t="shared" si="3"/>
        <v>4</v>
      </c>
      <c r="Z109" s="21">
        <f t="shared" si="5"/>
        <v>11</v>
      </c>
    </row>
    <row r="110" spans="1:26" ht="30" x14ac:dyDescent="0.25">
      <c r="A110" s="28">
        <v>109</v>
      </c>
      <c r="B110" s="29" t="s">
        <v>269</v>
      </c>
      <c r="C110" s="29" t="s">
        <v>113</v>
      </c>
      <c r="D110" s="30" t="s">
        <v>18</v>
      </c>
      <c r="E110" s="29" t="s">
        <v>73</v>
      </c>
      <c r="F110" s="31">
        <v>2.5</v>
      </c>
      <c r="G110" s="29" t="s">
        <v>137</v>
      </c>
      <c r="H110" s="29" t="s">
        <v>138</v>
      </c>
      <c r="I110" s="31">
        <v>1</v>
      </c>
      <c r="J110" s="31">
        <v>1</v>
      </c>
      <c r="K110" s="31">
        <v>0</v>
      </c>
      <c r="L110" s="31">
        <v>1</v>
      </c>
      <c r="M110" s="31">
        <v>2</v>
      </c>
      <c r="N110" s="31">
        <v>0</v>
      </c>
      <c r="O110" s="31">
        <v>1</v>
      </c>
      <c r="P110" s="31">
        <v>0</v>
      </c>
      <c r="Q110" s="31">
        <v>0</v>
      </c>
      <c r="R110" s="31">
        <v>6</v>
      </c>
      <c r="S110" s="31">
        <v>0</v>
      </c>
      <c r="T110" s="32">
        <v>6</v>
      </c>
      <c r="U110" s="31">
        <v>1</v>
      </c>
      <c r="V110" s="33">
        <v>1</v>
      </c>
      <c r="W110" s="31">
        <v>2</v>
      </c>
      <c r="X110" s="2">
        <v>1</v>
      </c>
      <c r="Y110" s="11">
        <f t="shared" si="3"/>
        <v>4</v>
      </c>
      <c r="Z110" s="34">
        <f t="shared" si="5"/>
        <v>11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CEC86-B6B3-472B-869D-B4AA29920BB5}">
  <dimension ref="A1:AD110"/>
  <sheetViews>
    <sheetView topLeftCell="J1" workbookViewId="0">
      <selection activeCell="K5" sqref="K5"/>
    </sheetView>
  </sheetViews>
  <sheetFormatPr defaultRowHeight="15" x14ac:dyDescent="0.25"/>
  <cols>
    <col min="1" max="1" width="8" bestFit="1" customWidth="1"/>
    <col min="2" max="2" width="12.85546875" bestFit="1" customWidth="1"/>
    <col min="3" max="3" width="32.7109375" bestFit="1" customWidth="1"/>
    <col min="4" max="4" width="18.5703125" bestFit="1" customWidth="1"/>
    <col min="5" max="5" width="14.7109375" bestFit="1" customWidth="1"/>
    <col min="6" max="6" width="19.140625" bestFit="1" customWidth="1"/>
    <col min="7" max="7" width="18.7109375" bestFit="1" customWidth="1"/>
    <col min="8" max="8" width="21.140625" bestFit="1" customWidth="1"/>
    <col min="9" max="9" width="17.28515625" bestFit="1" customWidth="1"/>
    <col min="10" max="10" width="25.85546875" bestFit="1" customWidth="1"/>
    <col min="11" max="11" width="14.5703125" bestFit="1" customWidth="1"/>
    <col min="12" max="12" width="33.7109375" bestFit="1" customWidth="1"/>
    <col min="13" max="13" width="22.42578125" bestFit="1" customWidth="1"/>
    <col min="14" max="14" width="25.42578125" bestFit="1" customWidth="1"/>
    <col min="15" max="15" width="12.28515625" bestFit="1" customWidth="1"/>
    <col min="16" max="16" width="15.5703125" bestFit="1" customWidth="1"/>
    <col min="17" max="17" width="17.7109375" bestFit="1" customWidth="1"/>
    <col min="18" max="18" width="19.85546875" bestFit="1" customWidth="1"/>
    <col min="19" max="19" width="17.42578125" bestFit="1" customWidth="1"/>
    <col min="20" max="20" width="12.42578125" bestFit="1" customWidth="1"/>
    <col min="21" max="21" width="18.85546875" bestFit="1" customWidth="1"/>
    <col min="22" max="22" width="24" bestFit="1" customWidth="1"/>
    <col min="23" max="23" width="17.5703125" bestFit="1" customWidth="1"/>
    <col min="24" max="24" width="19.7109375" bestFit="1" customWidth="1"/>
    <col min="25" max="25" width="22.85546875" bestFit="1" customWidth="1"/>
    <col min="26" max="26" width="21.140625" bestFit="1" customWidth="1"/>
    <col min="27" max="27" width="21.5703125" bestFit="1" customWidth="1"/>
    <col min="28" max="28" width="13.85546875" bestFit="1" customWidth="1"/>
    <col min="29" max="29" width="14" bestFit="1" customWidth="1"/>
    <col min="30" max="30" width="12.140625" bestFit="1" customWidth="1"/>
  </cols>
  <sheetData>
    <row r="1" spans="1:30" x14ac:dyDescent="0.25">
      <c r="A1" t="s">
        <v>119</v>
      </c>
      <c r="B1" t="s">
        <v>287</v>
      </c>
      <c r="C1" t="s">
        <v>288</v>
      </c>
      <c r="D1" t="s">
        <v>1</v>
      </c>
      <c r="E1" t="s">
        <v>4</v>
      </c>
      <c r="F1" t="s">
        <v>289</v>
      </c>
      <c r="G1" t="s">
        <v>312</v>
      </c>
      <c r="H1" t="s">
        <v>2</v>
      </c>
      <c r="I1" t="s">
        <v>3</v>
      </c>
      <c r="J1" t="s">
        <v>290</v>
      </c>
      <c r="K1" t="s">
        <v>313</v>
      </c>
      <c r="L1" t="s">
        <v>291</v>
      </c>
      <c r="M1" t="s">
        <v>292</v>
      </c>
      <c r="N1" t="s">
        <v>293</v>
      </c>
      <c r="O1" t="s">
        <v>294</v>
      </c>
      <c r="P1" t="s">
        <v>295</v>
      </c>
      <c r="Q1" t="s">
        <v>296</v>
      </c>
      <c r="R1" t="s">
        <v>297</v>
      </c>
      <c r="S1" t="s">
        <v>298</v>
      </c>
      <c r="T1" t="s">
        <v>299</v>
      </c>
      <c r="U1" t="s">
        <v>300</v>
      </c>
      <c r="V1" t="s">
        <v>301</v>
      </c>
      <c r="W1" t="s">
        <v>302</v>
      </c>
      <c r="X1" t="s">
        <v>303</v>
      </c>
      <c r="Y1" t="s">
        <v>304</v>
      </c>
      <c r="Z1" t="s">
        <v>305</v>
      </c>
      <c r="AA1" t="s">
        <v>306</v>
      </c>
      <c r="AB1" t="s">
        <v>307</v>
      </c>
      <c r="AC1" t="s">
        <v>308</v>
      </c>
      <c r="AD1" t="s">
        <v>309</v>
      </c>
    </row>
    <row r="2" spans="1:30" x14ac:dyDescent="0.25">
      <c r="A2">
        <v>1</v>
      </c>
      <c r="B2" t="s">
        <v>161</v>
      </c>
      <c r="C2" t="s">
        <v>314</v>
      </c>
      <c r="D2" t="s">
        <v>13</v>
      </c>
      <c r="E2" t="s">
        <v>37</v>
      </c>
      <c r="F2">
        <v>31</v>
      </c>
      <c r="G2" t="s">
        <v>315</v>
      </c>
      <c r="H2" t="s">
        <v>144</v>
      </c>
      <c r="I2" t="s">
        <v>140</v>
      </c>
      <c r="J2">
        <v>2</v>
      </c>
      <c r="K2" t="s">
        <v>316</v>
      </c>
      <c r="L2">
        <v>0</v>
      </c>
      <c r="M2">
        <v>1</v>
      </c>
      <c r="N2">
        <v>1</v>
      </c>
      <c r="O2">
        <v>2</v>
      </c>
      <c r="P2">
        <v>0</v>
      </c>
      <c r="Q2">
        <v>1</v>
      </c>
      <c r="R2">
        <v>8</v>
      </c>
      <c r="S2">
        <v>8</v>
      </c>
      <c r="T2">
        <v>0</v>
      </c>
      <c r="U2">
        <v>3</v>
      </c>
      <c r="V2">
        <v>11</v>
      </c>
      <c r="W2">
        <v>5</v>
      </c>
      <c r="X2">
        <v>8</v>
      </c>
      <c r="Y2">
        <v>2</v>
      </c>
      <c r="Z2">
        <v>3</v>
      </c>
      <c r="AA2">
        <v>13</v>
      </c>
      <c r="AB2">
        <v>29</v>
      </c>
      <c r="AC2">
        <v>29</v>
      </c>
      <c r="AD2" t="s">
        <v>317</v>
      </c>
    </row>
    <row r="3" spans="1:30" x14ac:dyDescent="0.25">
      <c r="A3">
        <v>2</v>
      </c>
      <c r="B3" t="s">
        <v>162</v>
      </c>
      <c r="C3" t="s">
        <v>14</v>
      </c>
      <c r="D3" t="s">
        <v>15</v>
      </c>
      <c r="E3" t="s">
        <v>37</v>
      </c>
      <c r="F3">
        <v>6</v>
      </c>
      <c r="G3" t="s">
        <v>318</v>
      </c>
      <c r="H3" t="s">
        <v>144</v>
      </c>
      <c r="I3" t="s">
        <v>151</v>
      </c>
      <c r="J3">
        <v>2</v>
      </c>
      <c r="K3" t="s">
        <v>316</v>
      </c>
      <c r="L3">
        <v>0</v>
      </c>
      <c r="M3">
        <v>1</v>
      </c>
      <c r="N3">
        <v>1</v>
      </c>
      <c r="O3">
        <v>1.6</v>
      </c>
      <c r="P3">
        <v>1</v>
      </c>
      <c r="Q3">
        <v>1</v>
      </c>
      <c r="R3">
        <v>6</v>
      </c>
      <c r="S3">
        <v>6</v>
      </c>
      <c r="T3">
        <v>0</v>
      </c>
      <c r="U3">
        <v>1</v>
      </c>
      <c r="V3">
        <v>7</v>
      </c>
      <c r="W3">
        <v>3</v>
      </c>
      <c r="X3">
        <v>6</v>
      </c>
      <c r="Y3">
        <v>2</v>
      </c>
      <c r="Z3">
        <v>3</v>
      </c>
      <c r="AA3">
        <v>11</v>
      </c>
      <c r="AB3">
        <v>21</v>
      </c>
      <c r="AC3">
        <v>21</v>
      </c>
      <c r="AD3" t="s">
        <v>317</v>
      </c>
    </row>
    <row r="4" spans="1:30" x14ac:dyDescent="0.25">
      <c r="A4">
        <v>3</v>
      </c>
      <c r="B4" t="s">
        <v>163</v>
      </c>
      <c r="C4" t="s">
        <v>16</v>
      </c>
      <c r="D4" t="s">
        <v>319</v>
      </c>
      <c r="E4" t="s">
        <v>37</v>
      </c>
      <c r="F4">
        <v>36</v>
      </c>
      <c r="G4" t="s">
        <v>315</v>
      </c>
      <c r="H4" t="s">
        <v>144</v>
      </c>
      <c r="I4" t="s">
        <v>152</v>
      </c>
      <c r="J4">
        <v>2</v>
      </c>
      <c r="K4" t="s">
        <v>316</v>
      </c>
      <c r="L4">
        <v>1</v>
      </c>
      <c r="M4">
        <v>1</v>
      </c>
      <c r="N4">
        <v>0</v>
      </c>
      <c r="O4">
        <v>2</v>
      </c>
      <c r="P4">
        <v>0</v>
      </c>
      <c r="Q4">
        <v>1</v>
      </c>
      <c r="R4">
        <v>2</v>
      </c>
      <c r="S4">
        <v>2</v>
      </c>
      <c r="T4">
        <v>0</v>
      </c>
      <c r="U4">
        <v>0</v>
      </c>
      <c r="V4">
        <v>2</v>
      </c>
      <c r="W4">
        <v>5</v>
      </c>
      <c r="X4">
        <v>2</v>
      </c>
      <c r="Y4">
        <v>8</v>
      </c>
      <c r="Z4">
        <v>1</v>
      </c>
      <c r="AA4">
        <v>11</v>
      </c>
      <c r="AB4">
        <v>18</v>
      </c>
      <c r="AC4">
        <v>18</v>
      </c>
      <c r="AD4" t="s">
        <v>317</v>
      </c>
    </row>
    <row r="5" spans="1:30" x14ac:dyDescent="0.25">
      <c r="A5">
        <v>4</v>
      </c>
      <c r="B5" t="s">
        <v>164</v>
      </c>
      <c r="C5" t="s">
        <v>320</v>
      </c>
      <c r="D5" t="s">
        <v>15</v>
      </c>
      <c r="E5" t="s">
        <v>38</v>
      </c>
      <c r="F5">
        <v>8</v>
      </c>
      <c r="G5" t="s">
        <v>318</v>
      </c>
      <c r="H5" t="s">
        <v>144</v>
      </c>
      <c r="I5" t="s">
        <v>140</v>
      </c>
      <c r="J5">
        <v>1</v>
      </c>
      <c r="K5" t="s">
        <v>316</v>
      </c>
      <c r="L5">
        <v>1</v>
      </c>
      <c r="M5">
        <v>1</v>
      </c>
      <c r="N5">
        <v>0</v>
      </c>
      <c r="O5">
        <v>2</v>
      </c>
      <c r="P5">
        <v>0</v>
      </c>
      <c r="Q5">
        <v>1</v>
      </c>
      <c r="R5">
        <v>8</v>
      </c>
      <c r="S5">
        <v>8</v>
      </c>
      <c r="T5">
        <v>0</v>
      </c>
      <c r="U5">
        <v>2</v>
      </c>
      <c r="V5">
        <v>10</v>
      </c>
      <c r="W5">
        <v>3</v>
      </c>
      <c r="X5">
        <v>2</v>
      </c>
      <c r="Y5">
        <v>2</v>
      </c>
      <c r="Z5">
        <v>1</v>
      </c>
      <c r="AA5">
        <v>6</v>
      </c>
      <c r="AB5">
        <v>18</v>
      </c>
      <c r="AC5">
        <v>18</v>
      </c>
      <c r="AD5" t="s">
        <v>317</v>
      </c>
    </row>
    <row r="6" spans="1:30" x14ac:dyDescent="0.25">
      <c r="A6">
        <v>5</v>
      </c>
      <c r="B6" t="s">
        <v>166</v>
      </c>
      <c r="C6" t="s">
        <v>321</v>
      </c>
      <c r="D6" t="s">
        <v>18</v>
      </c>
      <c r="E6" t="s">
        <v>38</v>
      </c>
      <c r="F6">
        <v>6</v>
      </c>
      <c r="G6" t="s">
        <v>318</v>
      </c>
      <c r="H6" t="s">
        <v>144</v>
      </c>
      <c r="I6" t="s">
        <v>151</v>
      </c>
      <c r="J6">
        <v>2</v>
      </c>
      <c r="K6" t="s">
        <v>316</v>
      </c>
      <c r="L6">
        <v>1</v>
      </c>
      <c r="M6">
        <v>1</v>
      </c>
      <c r="N6">
        <v>1</v>
      </c>
      <c r="O6">
        <v>2.2000000000000002</v>
      </c>
      <c r="P6">
        <v>0</v>
      </c>
      <c r="Q6">
        <v>1</v>
      </c>
      <c r="R6">
        <v>10</v>
      </c>
      <c r="S6">
        <v>10</v>
      </c>
      <c r="T6">
        <v>0</v>
      </c>
      <c r="U6">
        <v>1</v>
      </c>
      <c r="V6">
        <v>11</v>
      </c>
      <c r="W6">
        <v>1</v>
      </c>
      <c r="X6">
        <v>2</v>
      </c>
      <c r="Y6">
        <v>2</v>
      </c>
      <c r="Z6">
        <v>1</v>
      </c>
      <c r="AA6">
        <v>6</v>
      </c>
      <c r="AB6">
        <v>17</v>
      </c>
      <c r="AC6">
        <v>17</v>
      </c>
      <c r="AD6" t="s">
        <v>317</v>
      </c>
    </row>
    <row r="7" spans="1:30" x14ac:dyDescent="0.25">
      <c r="A7">
        <v>6</v>
      </c>
      <c r="B7" t="s">
        <v>165</v>
      </c>
      <c r="C7" t="s">
        <v>322</v>
      </c>
      <c r="D7" t="s">
        <v>18</v>
      </c>
      <c r="E7" t="s">
        <v>38</v>
      </c>
      <c r="F7">
        <v>4</v>
      </c>
      <c r="G7" t="s">
        <v>323</v>
      </c>
      <c r="H7" t="s">
        <v>144</v>
      </c>
      <c r="I7" t="s">
        <v>152</v>
      </c>
      <c r="J7">
        <v>2</v>
      </c>
      <c r="K7" t="s">
        <v>316</v>
      </c>
      <c r="L7">
        <v>0</v>
      </c>
      <c r="M7">
        <v>1</v>
      </c>
      <c r="N7">
        <v>1</v>
      </c>
      <c r="O7">
        <v>1.08</v>
      </c>
      <c r="P7">
        <v>0</v>
      </c>
      <c r="Q7">
        <v>1</v>
      </c>
      <c r="R7">
        <v>7</v>
      </c>
      <c r="S7">
        <v>7</v>
      </c>
      <c r="T7">
        <v>0</v>
      </c>
      <c r="U7">
        <v>2</v>
      </c>
      <c r="V7">
        <v>9</v>
      </c>
      <c r="W7">
        <v>1</v>
      </c>
      <c r="X7">
        <v>5.5</v>
      </c>
      <c r="Y7">
        <v>2</v>
      </c>
      <c r="Z7">
        <v>3</v>
      </c>
      <c r="AA7">
        <v>10.5</v>
      </c>
      <c r="AB7">
        <v>20.5</v>
      </c>
      <c r="AC7">
        <v>20.5</v>
      </c>
      <c r="AD7" t="s">
        <v>317</v>
      </c>
    </row>
    <row r="8" spans="1:30" x14ac:dyDescent="0.25">
      <c r="A8">
        <v>7</v>
      </c>
      <c r="B8" t="s">
        <v>167</v>
      </c>
      <c r="C8" t="s">
        <v>324</v>
      </c>
      <c r="D8" t="s">
        <v>18</v>
      </c>
      <c r="E8" t="s">
        <v>38</v>
      </c>
      <c r="F8">
        <v>3</v>
      </c>
      <c r="G8" t="s">
        <v>323</v>
      </c>
      <c r="H8" t="s">
        <v>144</v>
      </c>
      <c r="I8" t="s">
        <v>151</v>
      </c>
      <c r="J8">
        <v>2</v>
      </c>
      <c r="K8" t="s">
        <v>316</v>
      </c>
      <c r="L8">
        <v>0</v>
      </c>
      <c r="M8">
        <v>1</v>
      </c>
      <c r="N8">
        <v>1</v>
      </c>
      <c r="O8">
        <v>0.54</v>
      </c>
      <c r="P8">
        <v>1</v>
      </c>
      <c r="Q8">
        <v>0</v>
      </c>
      <c r="R8">
        <v>10</v>
      </c>
      <c r="S8">
        <v>10</v>
      </c>
      <c r="T8">
        <v>0</v>
      </c>
      <c r="U8">
        <v>3</v>
      </c>
      <c r="V8">
        <v>13</v>
      </c>
      <c r="W8">
        <v>1</v>
      </c>
      <c r="X8">
        <v>3</v>
      </c>
      <c r="Y8">
        <v>2</v>
      </c>
      <c r="Z8">
        <v>1</v>
      </c>
      <c r="AA8">
        <v>6</v>
      </c>
      <c r="AB8">
        <v>20</v>
      </c>
      <c r="AC8">
        <v>20</v>
      </c>
      <c r="AD8" t="s">
        <v>317</v>
      </c>
    </row>
    <row r="9" spans="1:30" x14ac:dyDescent="0.25">
      <c r="A9">
        <v>8</v>
      </c>
      <c r="B9" t="s">
        <v>168</v>
      </c>
      <c r="C9" t="s">
        <v>325</v>
      </c>
      <c r="D9" t="s">
        <v>15</v>
      </c>
      <c r="E9" t="s">
        <v>38</v>
      </c>
      <c r="F9">
        <v>20</v>
      </c>
      <c r="G9" t="s">
        <v>315</v>
      </c>
      <c r="H9" t="s">
        <v>144</v>
      </c>
      <c r="I9" t="s">
        <v>152</v>
      </c>
      <c r="J9">
        <v>2</v>
      </c>
      <c r="K9" t="s">
        <v>316</v>
      </c>
      <c r="L9">
        <v>0</v>
      </c>
      <c r="M9">
        <v>0</v>
      </c>
      <c r="N9">
        <v>2</v>
      </c>
      <c r="O9">
        <v>0.38</v>
      </c>
      <c r="P9">
        <v>0</v>
      </c>
      <c r="Q9">
        <v>1</v>
      </c>
      <c r="R9">
        <v>8</v>
      </c>
      <c r="S9">
        <v>8</v>
      </c>
      <c r="T9">
        <v>0</v>
      </c>
      <c r="U9">
        <v>2</v>
      </c>
      <c r="V9">
        <v>10</v>
      </c>
      <c r="W9">
        <v>3</v>
      </c>
      <c r="X9">
        <v>9</v>
      </c>
      <c r="Y9">
        <v>7</v>
      </c>
      <c r="Z9">
        <v>3</v>
      </c>
      <c r="AA9">
        <v>19</v>
      </c>
      <c r="AB9">
        <v>32</v>
      </c>
      <c r="AC9">
        <v>32</v>
      </c>
      <c r="AD9" t="s">
        <v>317</v>
      </c>
    </row>
    <row r="10" spans="1:30" x14ac:dyDescent="0.25">
      <c r="A10">
        <v>9</v>
      </c>
      <c r="B10" t="s">
        <v>169</v>
      </c>
      <c r="C10" t="s">
        <v>326</v>
      </c>
      <c r="D10" t="s">
        <v>15</v>
      </c>
      <c r="E10" t="s">
        <v>37</v>
      </c>
      <c r="F10">
        <v>20</v>
      </c>
      <c r="G10" t="s">
        <v>315</v>
      </c>
      <c r="H10" t="s">
        <v>144</v>
      </c>
      <c r="I10" t="s">
        <v>140</v>
      </c>
      <c r="J10">
        <v>2</v>
      </c>
      <c r="K10" t="s">
        <v>316</v>
      </c>
      <c r="L10">
        <v>0</v>
      </c>
      <c r="M10">
        <v>1</v>
      </c>
      <c r="N10">
        <v>1</v>
      </c>
      <c r="O10">
        <v>2</v>
      </c>
      <c r="P10">
        <v>1</v>
      </c>
      <c r="Q10">
        <v>0</v>
      </c>
      <c r="R10">
        <v>8</v>
      </c>
      <c r="S10">
        <v>8</v>
      </c>
      <c r="T10">
        <v>0</v>
      </c>
      <c r="U10">
        <v>1</v>
      </c>
      <c r="V10">
        <v>9</v>
      </c>
      <c r="W10">
        <v>3</v>
      </c>
      <c r="X10">
        <v>8</v>
      </c>
      <c r="Y10">
        <v>6</v>
      </c>
      <c r="Z10">
        <v>3</v>
      </c>
      <c r="AA10">
        <v>17</v>
      </c>
      <c r="AB10">
        <v>29</v>
      </c>
      <c r="AC10">
        <v>29</v>
      </c>
      <c r="AD10" t="s">
        <v>317</v>
      </c>
    </row>
    <row r="11" spans="1:30" x14ac:dyDescent="0.25">
      <c r="A11">
        <v>10</v>
      </c>
      <c r="B11" t="s">
        <v>170</v>
      </c>
      <c r="C11" t="s">
        <v>327</v>
      </c>
      <c r="D11" t="s">
        <v>18</v>
      </c>
      <c r="E11" t="s">
        <v>38</v>
      </c>
      <c r="F11">
        <v>6</v>
      </c>
      <c r="G11" t="s">
        <v>318</v>
      </c>
      <c r="H11" t="s">
        <v>144</v>
      </c>
      <c r="I11" t="s">
        <v>140</v>
      </c>
      <c r="J11">
        <v>1</v>
      </c>
      <c r="K11" t="s">
        <v>316</v>
      </c>
      <c r="L11">
        <v>1</v>
      </c>
      <c r="M11">
        <v>1</v>
      </c>
      <c r="N11">
        <v>0</v>
      </c>
      <c r="O11">
        <v>2</v>
      </c>
      <c r="P11">
        <v>0</v>
      </c>
      <c r="Q11">
        <v>1</v>
      </c>
      <c r="R11">
        <v>8</v>
      </c>
      <c r="S11">
        <v>8</v>
      </c>
      <c r="T11">
        <v>0</v>
      </c>
      <c r="U11">
        <v>2</v>
      </c>
      <c r="V11">
        <v>10</v>
      </c>
      <c r="W11">
        <v>1</v>
      </c>
      <c r="X11">
        <v>2</v>
      </c>
      <c r="Y11">
        <v>2</v>
      </c>
      <c r="Z11">
        <v>1</v>
      </c>
      <c r="AA11">
        <v>6</v>
      </c>
      <c r="AB11">
        <v>16</v>
      </c>
      <c r="AC11">
        <v>16</v>
      </c>
      <c r="AD11" t="s">
        <v>317</v>
      </c>
    </row>
    <row r="12" spans="1:30" x14ac:dyDescent="0.25">
      <c r="A12">
        <v>11</v>
      </c>
      <c r="B12" t="s">
        <v>171</v>
      </c>
      <c r="C12" t="s">
        <v>328</v>
      </c>
      <c r="D12" t="s">
        <v>18</v>
      </c>
      <c r="E12" t="s">
        <v>38</v>
      </c>
      <c r="F12">
        <v>8</v>
      </c>
      <c r="G12" t="s">
        <v>318</v>
      </c>
      <c r="H12" t="s">
        <v>144</v>
      </c>
      <c r="I12" t="s">
        <v>151</v>
      </c>
      <c r="J12">
        <v>2</v>
      </c>
      <c r="K12" t="s">
        <v>316</v>
      </c>
      <c r="L12">
        <v>0</v>
      </c>
      <c r="M12">
        <v>2</v>
      </c>
      <c r="N12">
        <v>0</v>
      </c>
      <c r="O12">
        <v>2</v>
      </c>
      <c r="P12">
        <v>0</v>
      </c>
      <c r="Q12">
        <v>0</v>
      </c>
      <c r="R12">
        <v>8</v>
      </c>
      <c r="S12">
        <v>8</v>
      </c>
      <c r="T12">
        <v>0</v>
      </c>
      <c r="U12">
        <v>2</v>
      </c>
      <c r="V12">
        <v>10</v>
      </c>
      <c r="W12">
        <v>1</v>
      </c>
      <c r="X12">
        <v>2</v>
      </c>
      <c r="Y12">
        <v>2</v>
      </c>
      <c r="Z12">
        <v>1</v>
      </c>
      <c r="AA12">
        <v>6</v>
      </c>
      <c r="AB12">
        <v>16</v>
      </c>
      <c r="AC12">
        <v>16</v>
      </c>
      <c r="AD12" t="s">
        <v>317</v>
      </c>
    </row>
    <row r="13" spans="1:30" x14ac:dyDescent="0.25">
      <c r="A13">
        <v>12</v>
      </c>
      <c r="B13" t="s">
        <v>172</v>
      </c>
      <c r="C13" t="s">
        <v>329</v>
      </c>
      <c r="D13" t="s">
        <v>15</v>
      </c>
      <c r="E13" t="s">
        <v>38</v>
      </c>
      <c r="F13">
        <v>11</v>
      </c>
      <c r="G13" t="s">
        <v>318</v>
      </c>
      <c r="H13" t="s">
        <v>144</v>
      </c>
      <c r="I13" t="s">
        <v>151</v>
      </c>
      <c r="J13">
        <v>2</v>
      </c>
      <c r="K13" t="s">
        <v>316</v>
      </c>
      <c r="L13">
        <v>1</v>
      </c>
      <c r="M13">
        <v>1</v>
      </c>
      <c r="N13">
        <v>1</v>
      </c>
      <c r="O13">
        <v>2.6</v>
      </c>
      <c r="P13">
        <v>0</v>
      </c>
      <c r="Q13">
        <v>1</v>
      </c>
      <c r="R13">
        <v>12</v>
      </c>
      <c r="S13">
        <v>12</v>
      </c>
      <c r="T13">
        <v>0</v>
      </c>
      <c r="U13">
        <v>3</v>
      </c>
      <c r="V13">
        <v>15</v>
      </c>
      <c r="W13">
        <v>3</v>
      </c>
      <c r="X13">
        <v>4</v>
      </c>
      <c r="Y13">
        <v>2</v>
      </c>
      <c r="Z13">
        <v>3</v>
      </c>
      <c r="AA13">
        <v>9</v>
      </c>
      <c r="AB13">
        <v>27</v>
      </c>
      <c r="AC13">
        <v>27</v>
      </c>
      <c r="AD13" t="s">
        <v>317</v>
      </c>
    </row>
    <row r="14" spans="1:30" x14ac:dyDescent="0.25">
      <c r="A14">
        <v>13</v>
      </c>
      <c r="B14" t="s">
        <v>173</v>
      </c>
      <c r="C14" t="s">
        <v>27</v>
      </c>
      <c r="D14" t="s">
        <v>18</v>
      </c>
      <c r="E14" t="s">
        <v>38</v>
      </c>
      <c r="F14">
        <v>4</v>
      </c>
      <c r="G14" t="s">
        <v>323</v>
      </c>
      <c r="H14" t="s">
        <v>144</v>
      </c>
      <c r="I14" t="s">
        <v>140</v>
      </c>
      <c r="J14">
        <v>4</v>
      </c>
      <c r="K14" t="s">
        <v>316</v>
      </c>
      <c r="L14">
        <v>0</v>
      </c>
      <c r="M14">
        <v>3</v>
      </c>
      <c r="N14">
        <v>1</v>
      </c>
      <c r="O14">
        <v>4.2</v>
      </c>
      <c r="P14">
        <v>0</v>
      </c>
      <c r="Q14">
        <v>1</v>
      </c>
      <c r="R14">
        <v>15</v>
      </c>
      <c r="S14">
        <v>8</v>
      </c>
      <c r="T14">
        <v>6</v>
      </c>
      <c r="U14">
        <v>1</v>
      </c>
      <c r="V14">
        <v>15</v>
      </c>
      <c r="W14">
        <v>1</v>
      </c>
      <c r="X14">
        <v>5</v>
      </c>
      <c r="Y14">
        <v>2</v>
      </c>
      <c r="Z14">
        <v>3</v>
      </c>
      <c r="AA14">
        <v>10</v>
      </c>
      <c r="AB14">
        <v>26</v>
      </c>
      <c r="AC14">
        <v>26</v>
      </c>
      <c r="AD14" t="s">
        <v>317</v>
      </c>
    </row>
    <row r="15" spans="1:30" x14ac:dyDescent="0.25">
      <c r="A15">
        <v>14</v>
      </c>
      <c r="B15" t="s">
        <v>174</v>
      </c>
      <c r="C15" t="s">
        <v>330</v>
      </c>
      <c r="D15" t="s">
        <v>18</v>
      </c>
      <c r="E15" t="s">
        <v>38</v>
      </c>
      <c r="F15">
        <v>16</v>
      </c>
      <c r="G15" t="s">
        <v>315</v>
      </c>
      <c r="H15" t="s">
        <v>144</v>
      </c>
      <c r="I15" t="s">
        <v>152</v>
      </c>
      <c r="J15">
        <v>2</v>
      </c>
      <c r="K15" t="s">
        <v>316</v>
      </c>
      <c r="L15">
        <v>1</v>
      </c>
      <c r="M15">
        <v>1</v>
      </c>
      <c r="N15">
        <v>1</v>
      </c>
      <c r="O15">
        <v>2.1800000000000002</v>
      </c>
      <c r="P15">
        <v>0</v>
      </c>
      <c r="Q15">
        <v>0</v>
      </c>
      <c r="R15">
        <v>12</v>
      </c>
      <c r="S15">
        <v>12</v>
      </c>
      <c r="T15">
        <v>0</v>
      </c>
      <c r="U15">
        <v>2</v>
      </c>
      <c r="V15">
        <v>14</v>
      </c>
      <c r="W15">
        <v>1</v>
      </c>
      <c r="X15">
        <v>4</v>
      </c>
      <c r="Y15">
        <v>2</v>
      </c>
      <c r="Z15">
        <v>3</v>
      </c>
      <c r="AA15">
        <v>9</v>
      </c>
      <c r="AB15">
        <v>24</v>
      </c>
      <c r="AC15">
        <v>24</v>
      </c>
      <c r="AD15" t="s">
        <v>317</v>
      </c>
    </row>
    <row r="16" spans="1:30" x14ac:dyDescent="0.25">
      <c r="A16">
        <v>15</v>
      </c>
      <c r="B16" t="s">
        <v>175</v>
      </c>
      <c r="C16" t="s">
        <v>153</v>
      </c>
      <c r="D16" t="s">
        <v>18</v>
      </c>
      <c r="E16" t="s">
        <v>38</v>
      </c>
      <c r="F16">
        <v>2</v>
      </c>
      <c r="G16" t="s">
        <v>323</v>
      </c>
      <c r="H16" t="s">
        <v>144</v>
      </c>
      <c r="I16" t="s">
        <v>140</v>
      </c>
      <c r="J16">
        <v>2</v>
      </c>
      <c r="K16" t="s">
        <v>331</v>
      </c>
      <c r="L16">
        <v>1</v>
      </c>
      <c r="M16">
        <v>2</v>
      </c>
      <c r="N16">
        <v>0</v>
      </c>
      <c r="O16">
        <v>3</v>
      </c>
      <c r="P16">
        <v>1</v>
      </c>
      <c r="Q16">
        <v>0</v>
      </c>
      <c r="R16">
        <v>12</v>
      </c>
      <c r="S16">
        <v>12</v>
      </c>
      <c r="T16">
        <v>0</v>
      </c>
      <c r="U16">
        <v>2</v>
      </c>
      <c r="V16">
        <v>14</v>
      </c>
      <c r="W16">
        <v>1</v>
      </c>
      <c r="X16">
        <v>4</v>
      </c>
      <c r="Y16">
        <v>2</v>
      </c>
      <c r="Z16">
        <v>3</v>
      </c>
      <c r="AA16">
        <v>9</v>
      </c>
      <c r="AB16">
        <v>24</v>
      </c>
      <c r="AC16">
        <v>24</v>
      </c>
      <c r="AD16" t="s">
        <v>317</v>
      </c>
    </row>
    <row r="17" spans="1:30" x14ac:dyDescent="0.25">
      <c r="A17">
        <v>16</v>
      </c>
      <c r="B17" t="s">
        <v>176</v>
      </c>
      <c r="C17" t="s">
        <v>29</v>
      </c>
      <c r="D17" t="s">
        <v>15</v>
      </c>
      <c r="E17" t="s">
        <v>37</v>
      </c>
      <c r="F17">
        <v>11</v>
      </c>
      <c r="G17" t="s">
        <v>318</v>
      </c>
      <c r="H17" t="s">
        <v>145</v>
      </c>
      <c r="I17" t="s">
        <v>147</v>
      </c>
      <c r="J17">
        <v>1</v>
      </c>
      <c r="K17" t="s">
        <v>316</v>
      </c>
      <c r="L17">
        <v>1</v>
      </c>
      <c r="M17">
        <v>1</v>
      </c>
      <c r="N17">
        <v>0</v>
      </c>
      <c r="O17">
        <v>4</v>
      </c>
      <c r="P17">
        <v>0</v>
      </c>
      <c r="Q17">
        <v>1</v>
      </c>
      <c r="R17">
        <v>17</v>
      </c>
      <c r="S17">
        <v>17</v>
      </c>
      <c r="T17">
        <v>0</v>
      </c>
      <c r="U17">
        <v>2</v>
      </c>
      <c r="V17">
        <v>19</v>
      </c>
      <c r="W17">
        <v>3</v>
      </c>
      <c r="X17">
        <v>3</v>
      </c>
      <c r="Y17">
        <v>2</v>
      </c>
      <c r="Z17">
        <v>1</v>
      </c>
      <c r="AA17">
        <v>6</v>
      </c>
      <c r="AB17">
        <v>28</v>
      </c>
      <c r="AC17">
        <v>28</v>
      </c>
      <c r="AD17" t="s">
        <v>317</v>
      </c>
    </row>
    <row r="18" spans="1:30" x14ac:dyDescent="0.25">
      <c r="A18">
        <v>17</v>
      </c>
      <c r="B18" t="s">
        <v>177</v>
      </c>
      <c r="C18" t="s">
        <v>157</v>
      </c>
      <c r="D18" t="s">
        <v>18</v>
      </c>
      <c r="E18" t="s">
        <v>39</v>
      </c>
      <c r="F18">
        <v>6</v>
      </c>
      <c r="G18" t="s">
        <v>318</v>
      </c>
      <c r="H18" t="s">
        <v>144</v>
      </c>
      <c r="I18" t="s">
        <v>147</v>
      </c>
      <c r="J18">
        <v>1</v>
      </c>
      <c r="K18" t="s">
        <v>316</v>
      </c>
      <c r="L18">
        <v>1</v>
      </c>
      <c r="M18">
        <v>1</v>
      </c>
      <c r="N18">
        <v>0</v>
      </c>
      <c r="O18">
        <v>3</v>
      </c>
      <c r="P18">
        <v>0</v>
      </c>
      <c r="Q18">
        <v>1</v>
      </c>
      <c r="R18">
        <v>11</v>
      </c>
      <c r="S18">
        <v>11</v>
      </c>
      <c r="T18">
        <v>0</v>
      </c>
      <c r="U18">
        <v>3</v>
      </c>
      <c r="V18">
        <v>14</v>
      </c>
      <c r="W18">
        <v>1</v>
      </c>
      <c r="X18">
        <v>1</v>
      </c>
      <c r="Y18">
        <v>2</v>
      </c>
      <c r="Z18">
        <v>1</v>
      </c>
      <c r="AA18">
        <v>4</v>
      </c>
      <c r="AB18">
        <v>19</v>
      </c>
      <c r="AC18">
        <v>19</v>
      </c>
      <c r="AD18" t="s">
        <v>317</v>
      </c>
    </row>
    <row r="19" spans="1:30" x14ac:dyDescent="0.25">
      <c r="A19">
        <v>18</v>
      </c>
      <c r="B19" t="s">
        <v>178</v>
      </c>
      <c r="C19" t="s">
        <v>30</v>
      </c>
      <c r="D19" t="s">
        <v>15</v>
      </c>
      <c r="E19" t="s">
        <v>40</v>
      </c>
      <c r="F19">
        <v>34</v>
      </c>
      <c r="G19" t="s">
        <v>315</v>
      </c>
      <c r="H19" t="s">
        <v>145</v>
      </c>
      <c r="I19" t="s">
        <v>149</v>
      </c>
      <c r="J19">
        <v>1</v>
      </c>
      <c r="K19" t="s">
        <v>316</v>
      </c>
      <c r="L19">
        <v>1</v>
      </c>
      <c r="M19">
        <v>1</v>
      </c>
      <c r="N19">
        <v>0</v>
      </c>
      <c r="O19">
        <v>1.5</v>
      </c>
      <c r="P19">
        <v>0</v>
      </c>
      <c r="Q19">
        <v>1</v>
      </c>
      <c r="R19">
        <v>10</v>
      </c>
      <c r="S19">
        <v>10</v>
      </c>
      <c r="T19">
        <v>0</v>
      </c>
      <c r="U19">
        <v>2</v>
      </c>
      <c r="V19">
        <v>12</v>
      </c>
      <c r="W19">
        <v>3</v>
      </c>
      <c r="X19">
        <v>5.5</v>
      </c>
      <c r="Y19">
        <v>2</v>
      </c>
      <c r="Z19">
        <v>1</v>
      </c>
      <c r="AA19">
        <v>8.5</v>
      </c>
      <c r="AB19">
        <v>23.5</v>
      </c>
      <c r="AC19">
        <v>23.5</v>
      </c>
      <c r="AD19" t="s">
        <v>317</v>
      </c>
    </row>
    <row r="20" spans="1:30" x14ac:dyDescent="0.25">
      <c r="A20">
        <v>19</v>
      </c>
      <c r="B20" t="s">
        <v>179</v>
      </c>
      <c r="C20" t="s">
        <v>31</v>
      </c>
      <c r="D20" t="s">
        <v>18</v>
      </c>
      <c r="E20" t="s">
        <v>41</v>
      </c>
      <c r="F20">
        <v>9</v>
      </c>
      <c r="G20" t="s">
        <v>318</v>
      </c>
      <c r="H20" t="s">
        <v>146</v>
      </c>
      <c r="I20" t="s">
        <v>148</v>
      </c>
      <c r="J20">
        <v>2</v>
      </c>
      <c r="K20" t="s">
        <v>316</v>
      </c>
      <c r="L20">
        <v>0</v>
      </c>
      <c r="M20">
        <v>1</v>
      </c>
      <c r="N20">
        <v>1</v>
      </c>
      <c r="O20">
        <v>2</v>
      </c>
      <c r="P20">
        <v>0</v>
      </c>
      <c r="Q20">
        <v>1</v>
      </c>
      <c r="R20">
        <v>10</v>
      </c>
      <c r="S20">
        <v>10</v>
      </c>
      <c r="T20">
        <v>0</v>
      </c>
      <c r="U20">
        <v>1</v>
      </c>
      <c r="V20">
        <v>11</v>
      </c>
      <c r="W20">
        <v>1</v>
      </c>
      <c r="X20">
        <v>2</v>
      </c>
      <c r="Y20">
        <v>2</v>
      </c>
      <c r="Z20">
        <v>1</v>
      </c>
      <c r="AA20">
        <v>6</v>
      </c>
      <c r="AB20">
        <v>18</v>
      </c>
      <c r="AC20">
        <v>18</v>
      </c>
      <c r="AD20" t="s">
        <v>317</v>
      </c>
    </row>
    <row r="21" spans="1:30" x14ac:dyDescent="0.25">
      <c r="A21">
        <v>20</v>
      </c>
      <c r="B21" t="s">
        <v>180</v>
      </c>
      <c r="C21" t="s">
        <v>32</v>
      </c>
      <c r="D21" t="s">
        <v>15</v>
      </c>
      <c r="E21" t="s">
        <v>41</v>
      </c>
      <c r="F21">
        <v>14</v>
      </c>
      <c r="G21" t="s">
        <v>318</v>
      </c>
      <c r="H21" t="s">
        <v>146</v>
      </c>
      <c r="I21" t="s">
        <v>150</v>
      </c>
      <c r="J21">
        <v>1</v>
      </c>
      <c r="K21" t="s">
        <v>316</v>
      </c>
      <c r="L21">
        <v>1</v>
      </c>
      <c r="M21">
        <v>1</v>
      </c>
      <c r="N21">
        <v>0</v>
      </c>
      <c r="O21">
        <v>3</v>
      </c>
      <c r="P21">
        <v>0</v>
      </c>
      <c r="Q21">
        <v>1</v>
      </c>
      <c r="R21">
        <v>15</v>
      </c>
      <c r="S21">
        <v>15</v>
      </c>
      <c r="T21">
        <v>0</v>
      </c>
      <c r="U21">
        <v>3</v>
      </c>
      <c r="V21">
        <v>18</v>
      </c>
      <c r="W21">
        <v>3</v>
      </c>
      <c r="X21">
        <v>6</v>
      </c>
      <c r="Y21">
        <v>6</v>
      </c>
      <c r="Z21">
        <v>1</v>
      </c>
      <c r="AA21">
        <v>13</v>
      </c>
      <c r="AB21">
        <v>34</v>
      </c>
      <c r="AC21">
        <v>34</v>
      </c>
      <c r="AD21" t="s">
        <v>317</v>
      </c>
    </row>
    <row r="22" spans="1:30" x14ac:dyDescent="0.25">
      <c r="A22">
        <v>21</v>
      </c>
      <c r="B22" t="s">
        <v>181</v>
      </c>
      <c r="C22" t="s">
        <v>33</v>
      </c>
      <c r="D22" t="s">
        <v>15</v>
      </c>
      <c r="E22" t="s">
        <v>41</v>
      </c>
      <c r="F22">
        <v>14</v>
      </c>
      <c r="G22" t="s">
        <v>318</v>
      </c>
      <c r="H22" t="s">
        <v>145</v>
      </c>
      <c r="I22" t="s">
        <v>138</v>
      </c>
      <c r="J22">
        <v>2</v>
      </c>
      <c r="K22" t="s">
        <v>316</v>
      </c>
      <c r="L22">
        <v>1</v>
      </c>
      <c r="M22">
        <v>2</v>
      </c>
      <c r="N22">
        <v>0</v>
      </c>
      <c r="O22">
        <v>2.5</v>
      </c>
      <c r="P22">
        <v>0</v>
      </c>
      <c r="Q22">
        <v>1</v>
      </c>
      <c r="R22">
        <v>15</v>
      </c>
      <c r="S22">
        <v>15</v>
      </c>
      <c r="T22">
        <v>4</v>
      </c>
      <c r="U22">
        <v>0</v>
      </c>
      <c r="V22">
        <v>19</v>
      </c>
      <c r="W22">
        <v>3</v>
      </c>
      <c r="X22">
        <v>6</v>
      </c>
      <c r="Y22">
        <v>6</v>
      </c>
      <c r="Z22">
        <v>1</v>
      </c>
      <c r="AA22">
        <v>13</v>
      </c>
      <c r="AB22">
        <v>35</v>
      </c>
      <c r="AC22">
        <v>35</v>
      </c>
      <c r="AD22" t="s">
        <v>317</v>
      </c>
    </row>
    <row r="23" spans="1:30" x14ac:dyDescent="0.25">
      <c r="A23">
        <v>22</v>
      </c>
      <c r="B23" t="s">
        <v>182</v>
      </c>
      <c r="C23" t="s">
        <v>34</v>
      </c>
      <c r="D23" t="s">
        <v>15</v>
      </c>
      <c r="E23" t="s">
        <v>42</v>
      </c>
      <c r="F23">
        <v>13</v>
      </c>
      <c r="G23" t="s">
        <v>318</v>
      </c>
      <c r="H23" t="s">
        <v>145</v>
      </c>
      <c r="I23" t="s">
        <v>138</v>
      </c>
      <c r="J23">
        <v>1</v>
      </c>
      <c r="K23" t="s">
        <v>316</v>
      </c>
      <c r="L23">
        <v>1</v>
      </c>
      <c r="M23">
        <v>1</v>
      </c>
      <c r="N23">
        <v>0</v>
      </c>
      <c r="O23">
        <v>1.5</v>
      </c>
      <c r="P23">
        <v>0</v>
      </c>
      <c r="Q23">
        <v>1</v>
      </c>
      <c r="R23">
        <v>6</v>
      </c>
      <c r="S23">
        <v>6</v>
      </c>
      <c r="T23">
        <v>6</v>
      </c>
      <c r="U23">
        <v>2</v>
      </c>
      <c r="V23">
        <v>14</v>
      </c>
      <c r="W23">
        <v>3</v>
      </c>
      <c r="X23">
        <v>3</v>
      </c>
      <c r="Y23">
        <v>2</v>
      </c>
      <c r="Z23">
        <v>1</v>
      </c>
      <c r="AA23">
        <v>6</v>
      </c>
      <c r="AB23">
        <v>23</v>
      </c>
      <c r="AC23">
        <v>23</v>
      </c>
      <c r="AD23" t="s">
        <v>317</v>
      </c>
    </row>
    <row r="24" spans="1:30" x14ac:dyDescent="0.25">
      <c r="A24">
        <v>23</v>
      </c>
      <c r="B24" t="s">
        <v>183</v>
      </c>
      <c r="C24" t="s">
        <v>35</v>
      </c>
      <c r="D24" t="s">
        <v>15</v>
      </c>
      <c r="E24" t="s">
        <v>41</v>
      </c>
      <c r="F24">
        <v>10</v>
      </c>
      <c r="G24" t="s">
        <v>318</v>
      </c>
      <c r="H24" t="s">
        <v>146</v>
      </c>
      <c r="I24" t="s">
        <v>138</v>
      </c>
      <c r="J24">
        <v>2</v>
      </c>
      <c r="K24" t="s">
        <v>331</v>
      </c>
      <c r="L24">
        <v>1</v>
      </c>
      <c r="M24">
        <v>2</v>
      </c>
      <c r="N24">
        <v>0</v>
      </c>
      <c r="O24">
        <v>5</v>
      </c>
      <c r="P24">
        <v>0</v>
      </c>
      <c r="Q24">
        <v>0</v>
      </c>
      <c r="R24">
        <v>21</v>
      </c>
      <c r="S24">
        <v>21</v>
      </c>
      <c r="T24">
        <v>0</v>
      </c>
      <c r="U24">
        <v>0</v>
      </c>
      <c r="V24">
        <v>21</v>
      </c>
      <c r="W24">
        <v>3</v>
      </c>
      <c r="X24">
        <v>3</v>
      </c>
      <c r="Y24">
        <v>2</v>
      </c>
      <c r="Z24">
        <v>1</v>
      </c>
      <c r="AA24">
        <v>6</v>
      </c>
      <c r="AB24">
        <v>30</v>
      </c>
      <c r="AC24">
        <v>30</v>
      </c>
      <c r="AD24" t="s">
        <v>317</v>
      </c>
    </row>
    <row r="25" spans="1:30" x14ac:dyDescent="0.25">
      <c r="A25">
        <v>24</v>
      </c>
      <c r="B25" t="s">
        <v>184</v>
      </c>
      <c r="C25" t="s">
        <v>36</v>
      </c>
      <c r="D25" t="s">
        <v>18</v>
      </c>
      <c r="E25" t="s">
        <v>40</v>
      </c>
      <c r="F25">
        <v>12</v>
      </c>
      <c r="G25" t="s">
        <v>318</v>
      </c>
      <c r="H25" t="s">
        <v>145</v>
      </c>
      <c r="I25" t="s">
        <v>149</v>
      </c>
      <c r="J25">
        <v>1</v>
      </c>
      <c r="K25" t="s">
        <v>316</v>
      </c>
      <c r="L25">
        <v>1</v>
      </c>
      <c r="M25">
        <v>1</v>
      </c>
      <c r="N25">
        <v>0</v>
      </c>
      <c r="O25">
        <v>1.5</v>
      </c>
      <c r="P25">
        <v>0</v>
      </c>
      <c r="Q25">
        <v>1</v>
      </c>
      <c r="R25">
        <v>6</v>
      </c>
      <c r="S25">
        <v>6</v>
      </c>
      <c r="T25">
        <v>6</v>
      </c>
      <c r="U25">
        <v>2</v>
      </c>
      <c r="V25">
        <v>14</v>
      </c>
      <c r="W25">
        <v>1</v>
      </c>
      <c r="X25">
        <v>2</v>
      </c>
      <c r="Y25">
        <v>2</v>
      </c>
      <c r="Z25">
        <v>1</v>
      </c>
      <c r="AA25">
        <v>6</v>
      </c>
      <c r="AB25">
        <v>20</v>
      </c>
      <c r="AC25">
        <v>20</v>
      </c>
      <c r="AD25" t="s">
        <v>317</v>
      </c>
    </row>
    <row r="26" spans="1:30" x14ac:dyDescent="0.25">
      <c r="A26">
        <v>25</v>
      </c>
      <c r="B26" t="s">
        <v>185</v>
      </c>
      <c r="C26" t="s">
        <v>115</v>
      </c>
      <c r="D26" t="s">
        <v>18</v>
      </c>
      <c r="E26" t="s">
        <v>118</v>
      </c>
      <c r="F26">
        <v>4</v>
      </c>
      <c r="G26" t="s">
        <v>323</v>
      </c>
      <c r="H26" t="s">
        <v>145</v>
      </c>
      <c r="I26" t="s">
        <v>126</v>
      </c>
      <c r="J26">
        <v>2</v>
      </c>
      <c r="K26" t="s">
        <v>331</v>
      </c>
      <c r="L26">
        <v>1</v>
      </c>
      <c r="M26">
        <v>2</v>
      </c>
      <c r="N26">
        <v>0</v>
      </c>
      <c r="O26">
        <v>6</v>
      </c>
      <c r="P26">
        <v>0</v>
      </c>
      <c r="Q26">
        <v>1</v>
      </c>
      <c r="R26">
        <v>22</v>
      </c>
      <c r="S26">
        <v>24</v>
      </c>
      <c r="T26">
        <v>0</v>
      </c>
      <c r="U26">
        <v>0</v>
      </c>
      <c r="V26">
        <v>24</v>
      </c>
      <c r="W26">
        <v>1</v>
      </c>
      <c r="X26">
        <v>2</v>
      </c>
      <c r="Y26">
        <v>2</v>
      </c>
      <c r="Z26">
        <v>1</v>
      </c>
      <c r="AA26">
        <v>6</v>
      </c>
      <c r="AB26">
        <v>30</v>
      </c>
      <c r="AC26">
        <v>30</v>
      </c>
      <c r="AD26" t="s">
        <v>317</v>
      </c>
    </row>
    <row r="27" spans="1:30" x14ac:dyDescent="0.25">
      <c r="A27">
        <v>26</v>
      </c>
      <c r="B27" t="s">
        <v>186</v>
      </c>
      <c r="C27" t="s">
        <v>116</v>
      </c>
      <c r="D27" t="s">
        <v>18</v>
      </c>
      <c r="E27" t="s">
        <v>114</v>
      </c>
      <c r="F27">
        <v>7</v>
      </c>
      <c r="G27" t="s">
        <v>318</v>
      </c>
      <c r="H27" t="s">
        <v>146</v>
      </c>
      <c r="I27" t="s">
        <v>131</v>
      </c>
      <c r="J27">
        <v>1</v>
      </c>
      <c r="K27" t="s">
        <v>316</v>
      </c>
      <c r="L27">
        <v>0</v>
      </c>
      <c r="M27">
        <v>0</v>
      </c>
      <c r="N27">
        <v>1</v>
      </c>
      <c r="O27">
        <v>1</v>
      </c>
      <c r="P27">
        <v>0</v>
      </c>
      <c r="Q27">
        <v>1</v>
      </c>
      <c r="R27">
        <v>5</v>
      </c>
      <c r="S27">
        <v>5</v>
      </c>
      <c r="T27">
        <v>3</v>
      </c>
      <c r="U27">
        <v>1</v>
      </c>
      <c r="V27">
        <v>9</v>
      </c>
      <c r="W27">
        <v>1</v>
      </c>
      <c r="X27">
        <v>2</v>
      </c>
      <c r="Y27">
        <v>2</v>
      </c>
      <c r="Z27">
        <v>1</v>
      </c>
      <c r="AA27">
        <v>6</v>
      </c>
      <c r="AB27">
        <v>15</v>
      </c>
      <c r="AC27">
        <v>15</v>
      </c>
      <c r="AD27" t="s">
        <v>317</v>
      </c>
    </row>
    <row r="28" spans="1:30" x14ac:dyDescent="0.25">
      <c r="A28">
        <v>27</v>
      </c>
      <c r="B28" t="s">
        <v>187</v>
      </c>
      <c r="C28" t="s">
        <v>117</v>
      </c>
      <c r="D28" t="s">
        <v>18</v>
      </c>
      <c r="E28" t="s">
        <v>114</v>
      </c>
      <c r="F28">
        <v>9</v>
      </c>
      <c r="G28" t="s">
        <v>318</v>
      </c>
      <c r="H28" t="s">
        <v>146</v>
      </c>
      <c r="I28" t="s">
        <v>148</v>
      </c>
      <c r="J28">
        <v>1</v>
      </c>
      <c r="K28" t="s">
        <v>316</v>
      </c>
      <c r="L28">
        <v>0</v>
      </c>
      <c r="M28">
        <v>1</v>
      </c>
      <c r="N28">
        <v>0</v>
      </c>
      <c r="O28">
        <v>1</v>
      </c>
      <c r="P28">
        <v>0</v>
      </c>
      <c r="Q28">
        <v>1</v>
      </c>
      <c r="R28">
        <v>5</v>
      </c>
      <c r="S28">
        <v>5</v>
      </c>
      <c r="T28">
        <v>0</v>
      </c>
      <c r="U28">
        <v>2</v>
      </c>
      <c r="V28">
        <v>7</v>
      </c>
      <c r="W28">
        <v>1</v>
      </c>
      <c r="X28">
        <v>4</v>
      </c>
      <c r="Y28">
        <v>2</v>
      </c>
      <c r="Z28">
        <v>1</v>
      </c>
      <c r="AA28">
        <v>7</v>
      </c>
      <c r="AB28">
        <v>15</v>
      </c>
      <c r="AC28">
        <v>15</v>
      </c>
      <c r="AD28" t="s">
        <v>317</v>
      </c>
    </row>
    <row r="29" spans="1:30" x14ac:dyDescent="0.25">
      <c r="A29">
        <v>28</v>
      </c>
      <c r="B29" t="s">
        <v>188</v>
      </c>
      <c r="C29" t="s">
        <v>159</v>
      </c>
      <c r="D29" t="s">
        <v>18</v>
      </c>
      <c r="E29" t="s">
        <v>118</v>
      </c>
      <c r="F29">
        <v>7</v>
      </c>
      <c r="G29" t="s">
        <v>318</v>
      </c>
      <c r="H29" t="s">
        <v>146</v>
      </c>
      <c r="I29" t="s">
        <v>126</v>
      </c>
      <c r="J29">
        <v>2</v>
      </c>
      <c r="K29" t="s">
        <v>331</v>
      </c>
      <c r="L29">
        <v>1</v>
      </c>
      <c r="M29">
        <v>2</v>
      </c>
      <c r="N29">
        <v>0</v>
      </c>
      <c r="O29">
        <v>6</v>
      </c>
      <c r="P29">
        <v>0</v>
      </c>
      <c r="Q29">
        <v>1</v>
      </c>
      <c r="R29">
        <v>22</v>
      </c>
      <c r="S29">
        <v>24</v>
      </c>
      <c r="T29">
        <v>0</v>
      </c>
      <c r="U29">
        <v>0</v>
      </c>
      <c r="V29">
        <v>24</v>
      </c>
      <c r="W29">
        <v>1</v>
      </c>
      <c r="X29">
        <v>2</v>
      </c>
      <c r="Y29">
        <v>2</v>
      </c>
      <c r="Z29">
        <v>1</v>
      </c>
      <c r="AA29">
        <v>6</v>
      </c>
      <c r="AB29">
        <v>30</v>
      </c>
      <c r="AC29">
        <v>30</v>
      </c>
      <c r="AD29" t="s">
        <v>317</v>
      </c>
    </row>
    <row r="30" spans="1:30" x14ac:dyDescent="0.25">
      <c r="A30">
        <v>29</v>
      </c>
      <c r="B30" t="s">
        <v>189</v>
      </c>
      <c r="C30" t="s">
        <v>332</v>
      </c>
      <c r="D30" t="s">
        <v>18</v>
      </c>
      <c r="E30" t="s">
        <v>58</v>
      </c>
      <c r="F30">
        <v>7</v>
      </c>
      <c r="G30" t="s">
        <v>318</v>
      </c>
      <c r="H30" t="s">
        <v>146</v>
      </c>
      <c r="I30" t="s">
        <v>131</v>
      </c>
      <c r="J30">
        <v>2</v>
      </c>
      <c r="K30" t="s">
        <v>316</v>
      </c>
      <c r="L30">
        <v>0</v>
      </c>
      <c r="M30">
        <v>0</v>
      </c>
      <c r="N30">
        <v>2</v>
      </c>
      <c r="O30">
        <v>2</v>
      </c>
      <c r="P30">
        <v>0</v>
      </c>
      <c r="Q30">
        <v>1</v>
      </c>
      <c r="R30">
        <v>10</v>
      </c>
      <c r="S30">
        <v>10</v>
      </c>
      <c r="T30">
        <v>6</v>
      </c>
      <c r="U30">
        <v>2</v>
      </c>
      <c r="V30">
        <v>18</v>
      </c>
      <c r="W30">
        <v>1</v>
      </c>
      <c r="X30">
        <v>2</v>
      </c>
      <c r="Y30">
        <v>2</v>
      </c>
      <c r="Z30">
        <v>1</v>
      </c>
      <c r="AA30">
        <v>6</v>
      </c>
      <c r="AB30">
        <v>24</v>
      </c>
      <c r="AC30">
        <v>24</v>
      </c>
      <c r="AD30" t="s">
        <v>317</v>
      </c>
    </row>
    <row r="31" spans="1:30" x14ac:dyDescent="0.25">
      <c r="A31">
        <v>30</v>
      </c>
      <c r="B31" t="s">
        <v>190</v>
      </c>
      <c r="C31" t="s">
        <v>158</v>
      </c>
      <c r="D31" t="s">
        <v>18</v>
      </c>
      <c r="E31" t="s">
        <v>114</v>
      </c>
      <c r="F31">
        <v>2</v>
      </c>
      <c r="G31" t="s">
        <v>323</v>
      </c>
      <c r="H31" t="s">
        <v>146</v>
      </c>
      <c r="I31" t="s">
        <v>150</v>
      </c>
      <c r="J31">
        <v>1</v>
      </c>
      <c r="K31" t="s">
        <v>316</v>
      </c>
      <c r="L31">
        <v>1</v>
      </c>
      <c r="M31">
        <v>1</v>
      </c>
      <c r="N31">
        <v>0</v>
      </c>
      <c r="O31">
        <v>3</v>
      </c>
      <c r="P31">
        <v>1</v>
      </c>
      <c r="Q31">
        <v>0</v>
      </c>
      <c r="R31">
        <v>15</v>
      </c>
      <c r="S31">
        <v>15</v>
      </c>
      <c r="T31">
        <v>0</v>
      </c>
      <c r="U31">
        <v>3</v>
      </c>
      <c r="V31">
        <v>18</v>
      </c>
      <c r="W31">
        <v>1</v>
      </c>
      <c r="X31">
        <v>2</v>
      </c>
      <c r="Y31">
        <v>2</v>
      </c>
      <c r="Z31">
        <v>1</v>
      </c>
      <c r="AA31">
        <v>6</v>
      </c>
      <c r="AB31">
        <v>24</v>
      </c>
      <c r="AC31">
        <v>24</v>
      </c>
      <c r="AD31" t="s">
        <v>317</v>
      </c>
    </row>
    <row r="32" spans="1:30" x14ac:dyDescent="0.25">
      <c r="A32">
        <v>31</v>
      </c>
      <c r="B32" t="s">
        <v>191</v>
      </c>
      <c r="C32" t="s">
        <v>44</v>
      </c>
      <c r="D32" t="s">
        <v>18</v>
      </c>
      <c r="E32" t="s">
        <v>41</v>
      </c>
      <c r="F32">
        <v>3</v>
      </c>
      <c r="G32" t="s">
        <v>323</v>
      </c>
      <c r="H32" t="s">
        <v>146</v>
      </c>
      <c r="I32" t="s">
        <v>148</v>
      </c>
      <c r="J32">
        <v>2</v>
      </c>
      <c r="K32" t="s">
        <v>316</v>
      </c>
      <c r="L32">
        <v>1</v>
      </c>
      <c r="M32">
        <v>1</v>
      </c>
      <c r="N32">
        <v>1</v>
      </c>
      <c r="O32">
        <v>2</v>
      </c>
      <c r="P32">
        <v>0</v>
      </c>
      <c r="Q32">
        <v>1</v>
      </c>
      <c r="R32">
        <v>15</v>
      </c>
      <c r="S32">
        <v>15</v>
      </c>
      <c r="T32">
        <v>0</v>
      </c>
      <c r="U32">
        <v>3</v>
      </c>
      <c r="V32">
        <v>18</v>
      </c>
      <c r="W32">
        <v>1</v>
      </c>
      <c r="X32">
        <v>6</v>
      </c>
      <c r="Y32">
        <v>2</v>
      </c>
      <c r="Z32">
        <v>1</v>
      </c>
      <c r="AA32">
        <v>9</v>
      </c>
      <c r="AB32">
        <v>28</v>
      </c>
      <c r="AC32">
        <v>28</v>
      </c>
      <c r="AD32" t="s">
        <v>317</v>
      </c>
    </row>
    <row r="33" spans="1:30" x14ac:dyDescent="0.25">
      <c r="A33">
        <v>32</v>
      </c>
      <c r="B33" t="s">
        <v>192</v>
      </c>
      <c r="C33" t="s">
        <v>45</v>
      </c>
      <c r="D33" t="s">
        <v>18</v>
      </c>
      <c r="E33" t="s">
        <v>39</v>
      </c>
      <c r="F33">
        <v>9</v>
      </c>
      <c r="G33" t="s">
        <v>318</v>
      </c>
      <c r="H33" t="s">
        <v>146</v>
      </c>
      <c r="I33" t="s">
        <v>147</v>
      </c>
      <c r="J33">
        <v>1</v>
      </c>
      <c r="K33" t="s">
        <v>316</v>
      </c>
      <c r="L33">
        <v>1</v>
      </c>
      <c r="M33">
        <v>1</v>
      </c>
      <c r="N33">
        <v>0</v>
      </c>
      <c r="O33">
        <v>4</v>
      </c>
      <c r="P33">
        <v>0</v>
      </c>
      <c r="Q33">
        <v>1</v>
      </c>
      <c r="R33">
        <v>17</v>
      </c>
      <c r="S33">
        <v>17</v>
      </c>
      <c r="T33">
        <v>0</v>
      </c>
      <c r="U33">
        <v>1</v>
      </c>
      <c r="V33">
        <v>17</v>
      </c>
      <c r="W33">
        <v>1</v>
      </c>
      <c r="X33">
        <v>2</v>
      </c>
      <c r="Y33">
        <v>2</v>
      </c>
      <c r="Z33">
        <v>1</v>
      </c>
      <c r="AA33">
        <v>6</v>
      </c>
      <c r="AB33">
        <v>23</v>
      </c>
      <c r="AC33">
        <v>23</v>
      </c>
      <c r="AD33" t="s">
        <v>317</v>
      </c>
    </row>
    <row r="34" spans="1:30" x14ac:dyDescent="0.25">
      <c r="A34">
        <v>33</v>
      </c>
      <c r="B34" t="s">
        <v>193</v>
      </c>
      <c r="C34" t="s">
        <v>333</v>
      </c>
      <c r="D34" t="s">
        <v>18</v>
      </c>
      <c r="E34" t="s">
        <v>41</v>
      </c>
      <c r="F34">
        <v>26</v>
      </c>
      <c r="G34" t="s">
        <v>315</v>
      </c>
      <c r="H34" t="s">
        <v>146</v>
      </c>
      <c r="I34" t="s">
        <v>135</v>
      </c>
      <c r="J34">
        <v>4</v>
      </c>
      <c r="K34" t="s">
        <v>316</v>
      </c>
      <c r="L34">
        <v>0</v>
      </c>
      <c r="M34">
        <v>1</v>
      </c>
      <c r="N34">
        <v>3</v>
      </c>
      <c r="O34">
        <v>2.5</v>
      </c>
      <c r="P34">
        <v>0</v>
      </c>
      <c r="Q34">
        <v>1</v>
      </c>
      <c r="R34">
        <v>20</v>
      </c>
      <c r="S34">
        <v>20</v>
      </c>
      <c r="T34">
        <v>6</v>
      </c>
      <c r="U34">
        <v>0</v>
      </c>
      <c r="V34">
        <v>26</v>
      </c>
      <c r="W34">
        <v>1</v>
      </c>
      <c r="X34">
        <v>4</v>
      </c>
      <c r="Y34">
        <v>2</v>
      </c>
      <c r="Z34">
        <v>1</v>
      </c>
      <c r="AA34">
        <v>7</v>
      </c>
      <c r="AB34">
        <v>34</v>
      </c>
      <c r="AC34">
        <v>34</v>
      </c>
      <c r="AD34" t="s">
        <v>317</v>
      </c>
    </row>
    <row r="35" spans="1:30" x14ac:dyDescent="0.25">
      <c r="A35">
        <v>34</v>
      </c>
      <c r="B35" t="s">
        <v>194</v>
      </c>
      <c r="C35" t="s">
        <v>334</v>
      </c>
      <c r="D35" t="s">
        <v>18</v>
      </c>
      <c r="E35" t="s">
        <v>41</v>
      </c>
      <c r="F35">
        <v>6</v>
      </c>
      <c r="G35" t="s">
        <v>318</v>
      </c>
      <c r="H35" t="s">
        <v>146</v>
      </c>
      <c r="I35" t="s">
        <v>150</v>
      </c>
      <c r="J35">
        <v>1</v>
      </c>
      <c r="K35" t="s">
        <v>316</v>
      </c>
      <c r="L35">
        <v>1</v>
      </c>
      <c r="M35">
        <v>1</v>
      </c>
      <c r="N35">
        <v>0</v>
      </c>
      <c r="O35">
        <v>3</v>
      </c>
      <c r="P35">
        <v>0</v>
      </c>
      <c r="Q35">
        <v>1</v>
      </c>
      <c r="R35">
        <v>15</v>
      </c>
      <c r="S35">
        <v>15</v>
      </c>
      <c r="T35">
        <v>0</v>
      </c>
      <c r="U35">
        <v>3</v>
      </c>
      <c r="V35">
        <v>18</v>
      </c>
      <c r="W35">
        <v>1</v>
      </c>
      <c r="X35">
        <v>2</v>
      </c>
      <c r="Y35">
        <v>2</v>
      </c>
      <c r="Z35">
        <v>1</v>
      </c>
      <c r="AA35">
        <v>6</v>
      </c>
      <c r="AB35">
        <v>24</v>
      </c>
      <c r="AC35">
        <v>24</v>
      </c>
      <c r="AD35" t="s">
        <v>317</v>
      </c>
    </row>
    <row r="36" spans="1:30" x14ac:dyDescent="0.25">
      <c r="A36">
        <v>35</v>
      </c>
      <c r="B36" t="s">
        <v>195</v>
      </c>
      <c r="C36" t="s">
        <v>335</v>
      </c>
      <c r="D36" t="s">
        <v>18</v>
      </c>
      <c r="E36" t="s">
        <v>42</v>
      </c>
      <c r="F36">
        <v>5</v>
      </c>
      <c r="G36" t="s">
        <v>318</v>
      </c>
      <c r="H36" t="s">
        <v>146</v>
      </c>
      <c r="I36" t="s">
        <v>138</v>
      </c>
      <c r="J36">
        <v>2</v>
      </c>
      <c r="K36" t="s">
        <v>331</v>
      </c>
      <c r="L36">
        <v>1</v>
      </c>
      <c r="M36">
        <v>2</v>
      </c>
      <c r="N36">
        <v>0</v>
      </c>
      <c r="O36">
        <v>4</v>
      </c>
      <c r="P36">
        <v>0</v>
      </c>
      <c r="Q36">
        <v>1</v>
      </c>
      <c r="R36">
        <v>15</v>
      </c>
      <c r="S36">
        <v>15</v>
      </c>
      <c r="T36">
        <v>6</v>
      </c>
      <c r="U36">
        <v>0</v>
      </c>
      <c r="V36">
        <v>21</v>
      </c>
      <c r="W36">
        <v>1</v>
      </c>
      <c r="X36">
        <v>2</v>
      </c>
      <c r="Y36">
        <v>2</v>
      </c>
      <c r="Z36">
        <v>1</v>
      </c>
      <c r="AA36">
        <v>6</v>
      </c>
      <c r="AB36">
        <v>27</v>
      </c>
      <c r="AC36">
        <v>27</v>
      </c>
      <c r="AD36" t="s">
        <v>317</v>
      </c>
    </row>
    <row r="37" spans="1:30" x14ac:dyDescent="0.25">
      <c r="A37">
        <v>36</v>
      </c>
      <c r="B37" t="s">
        <v>196</v>
      </c>
      <c r="C37" t="s">
        <v>336</v>
      </c>
      <c r="D37" t="s">
        <v>18</v>
      </c>
      <c r="E37" t="s">
        <v>40</v>
      </c>
      <c r="F37">
        <v>15</v>
      </c>
      <c r="G37" t="s">
        <v>315</v>
      </c>
      <c r="H37" t="s">
        <v>145</v>
      </c>
      <c r="I37" t="s">
        <v>149</v>
      </c>
      <c r="J37">
        <v>2</v>
      </c>
      <c r="K37" t="s">
        <v>331</v>
      </c>
      <c r="L37">
        <v>1</v>
      </c>
      <c r="M37">
        <v>2</v>
      </c>
      <c r="N37">
        <v>0</v>
      </c>
      <c r="O37">
        <v>3</v>
      </c>
      <c r="P37">
        <v>0</v>
      </c>
      <c r="Q37">
        <v>1</v>
      </c>
      <c r="R37">
        <v>20</v>
      </c>
      <c r="S37">
        <v>20</v>
      </c>
      <c r="T37">
        <v>0</v>
      </c>
      <c r="U37">
        <v>2</v>
      </c>
      <c r="V37">
        <v>22</v>
      </c>
      <c r="W37">
        <v>1</v>
      </c>
      <c r="X37">
        <v>5</v>
      </c>
      <c r="Y37">
        <v>2</v>
      </c>
      <c r="Z37">
        <v>1</v>
      </c>
      <c r="AA37">
        <v>8</v>
      </c>
      <c r="AB37">
        <v>31</v>
      </c>
      <c r="AC37">
        <v>31</v>
      </c>
      <c r="AD37" t="s">
        <v>317</v>
      </c>
    </row>
    <row r="38" spans="1:30" x14ac:dyDescent="0.25">
      <c r="A38">
        <v>37</v>
      </c>
      <c r="B38" t="s">
        <v>197</v>
      </c>
      <c r="C38" t="s">
        <v>337</v>
      </c>
      <c r="D38" t="s">
        <v>18</v>
      </c>
      <c r="E38" t="s">
        <v>39</v>
      </c>
      <c r="F38">
        <v>4</v>
      </c>
      <c r="G38" t="s">
        <v>323</v>
      </c>
      <c r="H38" t="s">
        <v>144</v>
      </c>
      <c r="I38" t="s">
        <v>126</v>
      </c>
      <c r="J38">
        <v>1</v>
      </c>
      <c r="K38" t="s">
        <v>316</v>
      </c>
      <c r="L38">
        <v>1</v>
      </c>
      <c r="M38">
        <v>1</v>
      </c>
      <c r="N38">
        <v>0</v>
      </c>
      <c r="O38">
        <v>2</v>
      </c>
      <c r="P38">
        <v>0</v>
      </c>
      <c r="Q38">
        <v>1</v>
      </c>
      <c r="R38">
        <v>11</v>
      </c>
      <c r="S38">
        <v>11</v>
      </c>
      <c r="T38">
        <v>0</v>
      </c>
      <c r="U38">
        <v>3</v>
      </c>
      <c r="V38">
        <v>14</v>
      </c>
      <c r="W38">
        <v>1</v>
      </c>
      <c r="X38">
        <v>2</v>
      </c>
      <c r="Y38">
        <v>2</v>
      </c>
      <c r="Z38">
        <v>1</v>
      </c>
      <c r="AA38">
        <v>6</v>
      </c>
      <c r="AB38">
        <v>20</v>
      </c>
      <c r="AC38">
        <v>20</v>
      </c>
      <c r="AD38" t="s">
        <v>317</v>
      </c>
    </row>
    <row r="39" spans="1:30" x14ac:dyDescent="0.25">
      <c r="A39">
        <v>38</v>
      </c>
      <c r="B39" t="s">
        <v>198</v>
      </c>
      <c r="C39" t="s">
        <v>338</v>
      </c>
      <c r="D39" t="s">
        <v>18</v>
      </c>
      <c r="E39" t="s">
        <v>40</v>
      </c>
      <c r="F39">
        <v>6</v>
      </c>
      <c r="G39" t="s">
        <v>318</v>
      </c>
      <c r="H39" t="s">
        <v>145</v>
      </c>
      <c r="I39" t="s">
        <v>149</v>
      </c>
      <c r="J39">
        <v>2</v>
      </c>
      <c r="K39" t="s">
        <v>331</v>
      </c>
      <c r="L39">
        <v>1</v>
      </c>
      <c r="M39">
        <v>2</v>
      </c>
      <c r="N39">
        <v>0</v>
      </c>
      <c r="O39">
        <v>3</v>
      </c>
      <c r="P39">
        <v>0</v>
      </c>
      <c r="Q39">
        <v>1</v>
      </c>
      <c r="R39">
        <v>20</v>
      </c>
      <c r="S39">
        <v>20</v>
      </c>
      <c r="T39">
        <v>0</v>
      </c>
      <c r="U39">
        <v>0</v>
      </c>
      <c r="V39">
        <v>20</v>
      </c>
      <c r="W39">
        <v>1</v>
      </c>
      <c r="X39">
        <v>3</v>
      </c>
      <c r="Y39">
        <v>2</v>
      </c>
      <c r="Z39">
        <v>3</v>
      </c>
      <c r="AA39">
        <v>8</v>
      </c>
      <c r="AB39">
        <v>29</v>
      </c>
      <c r="AC39">
        <v>29</v>
      </c>
      <c r="AD39" t="s">
        <v>317</v>
      </c>
    </row>
    <row r="40" spans="1:30" x14ac:dyDescent="0.25">
      <c r="A40">
        <v>39</v>
      </c>
      <c r="B40" t="s">
        <v>199</v>
      </c>
      <c r="C40" t="s">
        <v>160</v>
      </c>
      <c r="D40" t="s">
        <v>18</v>
      </c>
      <c r="E40" t="s">
        <v>39</v>
      </c>
      <c r="F40">
        <v>2</v>
      </c>
      <c r="G40" t="s">
        <v>323</v>
      </c>
      <c r="H40" t="s">
        <v>121</v>
      </c>
      <c r="I40" t="s">
        <v>126</v>
      </c>
      <c r="J40">
        <v>1</v>
      </c>
      <c r="K40" t="s">
        <v>316</v>
      </c>
      <c r="L40">
        <v>1</v>
      </c>
      <c r="M40">
        <v>0</v>
      </c>
      <c r="N40">
        <v>1</v>
      </c>
      <c r="O40">
        <v>2</v>
      </c>
      <c r="P40">
        <v>1</v>
      </c>
      <c r="Q40">
        <v>0</v>
      </c>
      <c r="R40">
        <v>6</v>
      </c>
      <c r="S40">
        <v>6</v>
      </c>
      <c r="T40">
        <v>0</v>
      </c>
      <c r="U40">
        <v>0</v>
      </c>
      <c r="V40">
        <v>6</v>
      </c>
      <c r="W40">
        <v>1</v>
      </c>
      <c r="X40">
        <v>2</v>
      </c>
      <c r="Y40">
        <v>2</v>
      </c>
      <c r="Z40">
        <v>1</v>
      </c>
      <c r="AA40">
        <v>6</v>
      </c>
      <c r="AB40">
        <v>12</v>
      </c>
      <c r="AC40">
        <v>12</v>
      </c>
      <c r="AD40" t="s">
        <v>317</v>
      </c>
    </row>
    <row r="41" spans="1:30" x14ac:dyDescent="0.25">
      <c r="A41">
        <v>40</v>
      </c>
      <c r="B41" t="s">
        <v>200</v>
      </c>
      <c r="C41" t="s">
        <v>52</v>
      </c>
      <c r="D41" t="s">
        <v>18</v>
      </c>
      <c r="E41" t="s">
        <v>38</v>
      </c>
      <c r="F41">
        <v>3</v>
      </c>
      <c r="G41" t="s">
        <v>323</v>
      </c>
      <c r="H41" t="s">
        <v>144</v>
      </c>
      <c r="I41" t="s">
        <v>140</v>
      </c>
      <c r="J41">
        <v>1</v>
      </c>
      <c r="K41" t="s">
        <v>316</v>
      </c>
      <c r="L41">
        <v>1</v>
      </c>
      <c r="M41">
        <v>1</v>
      </c>
      <c r="N41">
        <v>0</v>
      </c>
      <c r="O41">
        <v>2</v>
      </c>
      <c r="P41">
        <v>1</v>
      </c>
      <c r="Q41">
        <v>0</v>
      </c>
      <c r="R41">
        <v>8</v>
      </c>
      <c r="S41">
        <v>8</v>
      </c>
      <c r="T41">
        <v>0</v>
      </c>
      <c r="U41">
        <v>2</v>
      </c>
      <c r="V41">
        <v>10</v>
      </c>
      <c r="W41">
        <v>1</v>
      </c>
      <c r="X41">
        <v>2</v>
      </c>
      <c r="Y41">
        <v>2</v>
      </c>
      <c r="Z41">
        <v>1</v>
      </c>
      <c r="AA41">
        <v>6</v>
      </c>
      <c r="AB41">
        <v>16</v>
      </c>
      <c r="AC41">
        <v>16</v>
      </c>
      <c r="AD41" t="s">
        <v>317</v>
      </c>
    </row>
    <row r="42" spans="1:30" x14ac:dyDescent="0.25">
      <c r="A42">
        <v>41</v>
      </c>
      <c r="B42" t="s">
        <v>201</v>
      </c>
      <c r="C42" t="s">
        <v>53</v>
      </c>
      <c r="D42" t="s">
        <v>18</v>
      </c>
      <c r="E42" t="s">
        <v>38</v>
      </c>
      <c r="F42">
        <v>9</v>
      </c>
      <c r="G42" t="s">
        <v>318</v>
      </c>
      <c r="H42" t="s">
        <v>144</v>
      </c>
      <c r="I42" t="s">
        <v>126</v>
      </c>
      <c r="J42">
        <v>2</v>
      </c>
      <c r="K42" t="s">
        <v>316</v>
      </c>
      <c r="L42">
        <v>0</v>
      </c>
      <c r="M42">
        <v>2</v>
      </c>
      <c r="N42">
        <v>0</v>
      </c>
      <c r="O42">
        <v>1.46</v>
      </c>
      <c r="P42">
        <v>0</v>
      </c>
      <c r="Q42">
        <v>1</v>
      </c>
      <c r="R42">
        <v>7</v>
      </c>
      <c r="S42">
        <v>7</v>
      </c>
      <c r="T42">
        <v>0</v>
      </c>
      <c r="U42">
        <v>0</v>
      </c>
      <c r="V42">
        <v>7</v>
      </c>
      <c r="W42">
        <v>1</v>
      </c>
      <c r="X42">
        <v>2</v>
      </c>
      <c r="Y42">
        <v>2</v>
      </c>
      <c r="Z42">
        <v>1</v>
      </c>
      <c r="AA42">
        <v>6</v>
      </c>
      <c r="AB42">
        <v>13</v>
      </c>
      <c r="AC42">
        <v>13</v>
      </c>
      <c r="AD42" t="s">
        <v>317</v>
      </c>
    </row>
    <row r="43" spans="1:30" x14ac:dyDescent="0.25">
      <c r="A43">
        <v>42</v>
      </c>
      <c r="B43" t="s">
        <v>202</v>
      </c>
      <c r="C43" t="s">
        <v>54</v>
      </c>
      <c r="D43" t="s">
        <v>18</v>
      </c>
      <c r="E43" t="s">
        <v>38</v>
      </c>
      <c r="F43">
        <v>3</v>
      </c>
      <c r="G43" t="s">
        <v>323</v>
      </c>
      <c r="H43" t="s">
        <v>144</v>
      </c>
      <c r="I43" t="s">
        <v>140</v>
      </c>
      <c r="J43">
        <v>2</v>
      </c>
      <c r="K43" t="s">
        <v>316</v>
      </c>
      <c r="L43">
        <v>0</v>
      </c>
      <c r="M43">
        <v>1</v>
      </c>
      <c r="N43">
        <v>1</v>
      </c>
      <c r="O43">
        <v>1.2</v>
      </c>
      <c r="P43">
        <v>1</v>
      </c>
      <c r="Q43">
        <v>0</v>
      </c>
      <c r="R43">
        <v>10</v>
      </c>
      <c r="S43">
        <v>10</v>
      </c>
      <c r="T43">
        <v>0</v>
      </c>
      <c r="U43">
        <v>0</v>
      </c>
      <c r="V43">
        <v>10</v>
      </c>
      <c r="W43">
        <v>1</v>
      </c>
      <c r="X43">
        <v>2</v>
      </c>
      <c r="Y43">
        <v>2</v>
      </c>
      <c r="Z43">
        <v>1</v>
      </c>
      <c r="AA43">
        <v>6</v>
      </c>
      <c r="AB43">
        <v>16</v>
      </c>
      <c r="AC43">
        <v>16</v>
      </c>
      <c r="AD43" t="s">
        <v>317</v>
      </c>
    </row>
    <row r="44" spans="1:30" x14ac:dyDescent="0.25">
      <c r="A44">
        <v>43</v>
      </c>
      <c r="B44" t="s">
        <v>203</v>
      </c>
      <c r="C44" t="s">
        <v>55</v>
      </c>
      <c r="D44" t="s">
        <v>18</v>
      </c>
      <c r="E44" t="s">
        <v>40</v>
      </c>
      <c r="F44">
        <v>10</v>
      </c>
      <c r="G44" t="s">
        <v>318</v>
      </c>
      <c r="H44" t="s">
        <v>145</v>
      </c>
      <c r="I44" t="s">
        <v>154</v>
      </c>
      <c r="J44">
        <v>2</v>
      </c>
      <c r="K44" t="s">
        <v>316</v>
      </c>
      <c r="L44">
        <v>1</v>
      </c>
      <c r="M44">
        <v>2</v>
      </c>
      <c r="N44">
        <v>0</v>
      </c>
      <c r="O44">
        <v>2.5</v>
      </c>
      <c r="P44">
        <v>1</v>
      </c>
      <c r="Q44">
        <v>0</v>
      </c>
      <c r="R44">
        <v>15</v>
      </c>
      <c r="S44">
        <v>15</v>
      </c>
      <c r="T44">
        <v>0</v>
      </c>
      <c r="U44">
        <v>2</v>
      </c>
      <c r="V44">
        <v>17</v>
      </c>
      <c r="W44">
        <v>1</v>
      </c>
      <c r="X44">
        <v>7</v>
      </c>
      <c r="Y44">
        <v>2</v>
      </c>
      <c r="Z44">
        <v>3</v>
      </c>
      <c r="AA44">
        <v>12</v>
      </c>
      <c r="AB44">
        <v>30</v>
      </c>
      <c r="AC44">
        <v>30</v>
      </c>
      <c r="AD44" t="s">
        <v>317</v>
      </c>
    </row>
    <row r="45" spans="1:30" x14ac:dyDescent="0.25">
      <c r="A45">
        <v>44</v>
      </c>
      <c r="B45" t="s">
        <v>204</v>
      </c>
      <c r="C45" t="s">
        <v>56</v>
      </c>
      <c r="D45" t="s">
        <v>18</v>
      </c>
      <c r="E45" t="s">
        <v>38</v>
      </c>
      <c r="F45">
        <v>5</v>
      </c>
      <c r="G45" t="s">
        <v>318</v>
      </c>
      <c r="H45" t="s">
        <v>144</v>
      </c>
      <c r="I45" t="s">
        <v>151</v>
      </c>
      <c r="J45">
        <v>3</v>
      </c>
      <c r="K45" t="s">
        <v>316</v>
      </c>
      <c r="L45">
        <v>0</v>
      </c>
      <c r="M45">
        <v>2</v>
      </c>
      <c r="N45">
        <v>1</v>
      </c>
      <c r="O45">
        <v>1.71</v>
      </c>
      <c r="P45">
        <v>0</v>
      </c>
      <c r="Q45">
        <v>1</v>
      </c>
      <c r="R45">
        <v>15</v>
      </c>
      <c r="S45">
        <v>15</v>
      </c>
      <c r="T45">
        <v>0</v>
      </c>
      <c r="U45">
        <v>0</v>
      </c>
      <c r="V45">
        <v>15</v>
      </c>
      <c r="W45">
        <v>1</v>
      </c>
      <c r="X45">
        <v>2</v>
      </c>
      <c r="Y45">
        <v>2</v>
      </c>
      <c r="Z45">
        <v>1</v>
      </c>
      <c r="AA45">
        <v>6</v>
      </c>
      <c r="AB45">
        <v>21</v>
      </c>
      <c r="AC45">
        <v>21</v>
      </c>
      <c r="AD45" t="s">
        <v>317</v>
      </c>
    </row>
    <row r="46" spans="1:30" x14ac:dyDescent="0.25">
      <c r="A46">
        <v>45</v>
      </c>
      <c r="B46" t="s">
        <v>205</v>
      </c>
      <c r="C46" t="s">
        <v>155</v>
      </c>
      <c r="D46" t="s">
        <v>18</v>
      </c>
      <c r="E46" t="s">
        <v>38</v>
      </c>
      <c r="F46">
        <v>2</v>
      </c>
      <c r="G46" t="s">
        <v>323</v>
      </c>
      <c r="H46" t="s">
        <v>144</v>
      </c>
      <c r="I46" t="s">
        <v>151</v>
      </c>
      <c r="J46">
        <v>2</v>
      </c>
      <c r="K46" t="s">
        <v>316</v>
      </c>
      <c r="L46">
        <v>0</v>
      </c>
      <c r="M46">
        <v>1</v>
      </c>
      <c r="N46">
        <v>1</v>
      </c>
      <c r="O46">
        <v>0.78</v>
      </c>
      <c r="P46">
        <v>1</v>
      </c>
      <c r="Q46">
        <v>0</v>
      </c>
      <c r="R46">
        <v>10</v>
      </c>
      <c r="S46">
        <v>10</v>
      </c>
      <c r="T46">
        <v>0</v>
      </c>
      <c r="U46">
        <v>2</v>
      </c>
      <c r="V46">
        <v>12</v>
      </c>
      <c r="W46">
        <v>1</v>
      </c>
      <c r="X46">
        <v>2</v>
      </c>
      <c r="Y46">
        <v>2</v>
      </c>
      <c r="Z46">
        <v>1</v>
      </c>
      <c r="AA46">
        <v>6</v>
      </c>
      <c r="AB46">
        <v>18</v>
      </c>
      <c r="AC46">
        <v>18</v>
      </c>
      <c r="AD46" t="s">
        <v>317</v>
      </c>
    </row>
    <row r="47" spans="1:30" x14ac:dyDescent="0.25">
      <c r="A47">
        <v>46</v>
      </c>
      <c r="B47" t="s">
        <v>206</v>
      </c>
      <c r="C47" t="s">
        <v>57</v>
      </c>
      <c r="D47" t="s">
        <v>18</v>
      </c>
      <c r="E47" t="s">
        <v>38</v>
      </c>
      <c r="F47">
        <v>2</v>
      </c>
      <c r="G47" t="s">
        <v>323</v>
      </c>
      <c r="H47" t="s">
        <v>144</v>
      </c>
      <c r="I47" t="s">
        <v>151</v>
      </c>
      <c r="J47">
        <v>1</v>
      </c>
      <c r="K47" t="s">
        <v>316</v>
      </c>
      <c r="L47">
        <v>0</v>
      </c>
      <c r="M47">
        <v>0</v>
      </c>
      <c r="N47">
        <v>1</v>
      </c>
      <c r="O47">
        <v>0.08</v>
      </c>
      <c r="P47">
        <v>1</v>
      </c>
      <c r="Q47">
        <v>0</v>
      </c>
      <c r="R47">
        <v>5</v>
      </c>
      <c r="S47">
        <v>5</v>
      </c>
      <c r="T47">
        <v>0</v>
      </c>
      <c r="U47">
        <v>6</v>
      </c>
      <c r="V47">
        <v>11</v>
      </c>
      <c r="W47">
        <v>1</v>
      </c>
      <c r="X47">
        <v>2</v>
      </c>
      <c r="Y47">
        <v>2</v>
      </c>
      <c r="Z47">
        <v>1</v>
      </c>
      <c r="AA47">
        <v>6</v>
      </c>
      <c r="AB47">
        <v>17</v>
      </c>
      <c r="AC47">
        <v>17</v>
      </c>
      <c r="AD47" t="s">
        <v>317</v>
      </c>
    </row>
    <row r="48" spans="1:30" x14ac:dyDescent="0.25">
      <c r="A48">
        <v>47</v>
      </c>
      <c r="B48" t="s">
        <v>207</v>
      </c>
      <c r="C48" t="s">
        <v>339</v>
      </c>
      <c r="D48" t="s">
        <v>15</v>
      </c>
      <c r="E48" t="s">
        <v>37</v>
      </c>
      <c r="F48">
        <v>17</v>
      </c>
      <c r="G48" t="s">
        <v>315</v>
      </c>
      <c r="H48" t="s">
        <v>121</v>
      </c>
      <c r="I48" t="s">
        <v>131</v>
      </c>
      <c r="J48">
        <v>1</v>
      </c>
      <c r="K48" t="s">
        <v>316</v>
      </c>
      <c r="L48">
        <v>0</v>
      </c>
      <c r="M48">
        <v>1</v>
      </c>
      <c r="N48">
        <v>0</v>
      </c>
      <c r="O48">
        <v>0.6</v>
      </c>
      <c r="P48">
        <v>0</v>
      </c>
      <c r="Q48">
        <v>1</v>
      </c>
      <c r="R48">
        <v>5</v>
      </c>
      <c r="S48">
        <v>5</v>
      </c>
      <c r="T48">
        <v>3</v>
      </c>
      <c r="U48">
        <v>0</v>
      </c>
      <c r="V48">
        <v>8</v>
      </c>
      <c r="W48">
        <v>3</v>
      </c>
      <c r="X48">
        <v>6</v>
      </c>
      <c r="Y48">
        <v>6</v>
      </c>
      <c r="Z48">
        <v>1</v>
      </c>
      <c r="AA48">
        <v>13</v>
      </c>
      <c r="AB48">
        <v>24</v>
      </c>
      <c r="AC48">
        <v>24</v>
      </c>
      <c r="AD48" t="s">
        <v>317</v>
      </c>
    </row>
    <row r="49" spans="1:30" x14ac:dyDescent="0.25">
      <c r="A49">
        <v>48</v>
      </c>
      <c r="B49" t="s">
        <v>208</v>
      </c>
      <c r="C49" t="s">
        <v>340</v>
      </c>
      <c r="D49" t="s">
        <v>18</v>
      </c>
      <c r="E49" t="s">
        <v>73</v>
      </c>
      <c r="F49">
        <v>7</v>
      </c>
      <c r="G49" t="s">
        <v>318</v>
      </c>
      <c r="H49" t="s">
        <v>133</v>
      </c>
      <c r="I49" t="s">
        <v>135</v>
      </c>
      <c r="J49">
        <v>3</v>
      </c>
      <c r="K49" t="s">
        <v>316</v>
      </c>
      <c r="L49">
        <v>0</v>
      </c>
      <c r="M49">
        <v>0</v>
      </c>
      <c r="N49">
        <v>3</v>
      </c>
      <c r="O49">
        <v>1.83</v>
      </c>
      <c r="P49">
        <v>0</v>
      </c>
      <c r="Q49">
        <v>1</v>
      </c>
      <c r="R49">
        <v>10</v>
      </c>
      <c r="S49">
        <v>10</v>
      </c>
      <c r="T49">
        <v>6</v>
      </c>
      <c r="U49">
        <v>0</v>
      </c>
      <c r="V49">
        <v>16</v>
      </c>
      <c r="W49">
        <v>1</v>
      </c>
      <c r="X49">
        <v>2</v>
      </c>
      <c r="Y49">
        <v>2</v>
      </c>
      <c r="Z49">
        <v>1</v>
      </c>
      <c r="AA49">
        <v>6</v>
      </c>
      <c r="AB49">
        <v>22</v>
      </c>
      <c r="AC49">
        <v>22</v>
      </c>
      <c r="AD49" t="s">
        <v>317</v>
      </c>
    </row>
    <row r="50" spans="1:30" x14ac:dyDescent="0.25">
      <c r="A50">
        <v>49</v>
      </c>
      <c r="B50" t="s">
        <v>209</v>
      </c>
      <c r="C50" t="s">
        <v>341</v>
      </c>
      <c r="D50" t="s">
        <v>18</v>
      </c>
      <c r="E50" t="s">
        <v>73</v>
      </c>
      <c r="F50">
        <v>4</v>
      </c>
      <c r="G50" t="s">
        <v>323</v>
      </c>
      <c r="H50" t="s">
        <v>121</v>
      </c>
      <c r="I50" t="s">
        <v>133</v>
      </c>
      <c r="J50">
        <v>1</v>
      </c>
      <c r="K50" t="s">
        <v>316</v>
      </c>
      <c r="L50">
        <v>0</v>
      </c>
      <c r="M50">
        <v>1</v>
      </c>
      <c r="N50">
        <v>0</v>
      </c>
      <c r="O50">
        <v>1</v>
      </c>
      <c r="P50">
        <v>1</v>
      </c>
      <c r="Q50">
        <v>0</v>
      </c>
      <c r="R50">
        <v>0</v>
      </c>
      <c r="S50">
        <v>0</v>
      </c>
      <c r="T50">
        <v>3</v>
      </c>
      <c r="U50">
        <v>0</v>
      </c>
      <c r="V50">
        <v>3</v>
      </c>
      <c r="W50">
        <v>1</v>
      </c>
      <c r="X50">
        <v>2</v>
      </c>
      <c r="Y50">
        <v>2</v>
      </c>
      <c r="Z50">
        <v>1</v>
      </c>
      <c r="AA50">
        <v>6</v>
      </c>
      <c r="AB50">
        <v>9</v>
      </c>
      <c r="AC50">
        <v>9</v>
      </c>
      <c r="AD50" t="s">
        <v>317</v>
      </c>
    </row>
    <row r="51" spans="1:30" x14ac:dyDescent="0.25">
      <c r="A51">
        <v>50</v>
      </c>
      <c r="B51" t="s">
        <v>210</v>
      </c>
      <c r="C51" t="s">
        <v>342</v>
      </c>
      <c r="D51" t="s">
        <v>18</v>
      </c>
      <c r="E51" t="s">
        <v>73</v>
      </c>
      <c r="F51">
        <v>2</v>
      </c>
      <c r="G51" t="s">
        <v>323</v>
      </c>
      <c r="H51" t="s">
        <v>133</v>
      </c>
      <c r="I51" t="s">
        <v>136</v>
      </c>
      <c r="J51">
        <v>3</v>
      </c>
      <c r="K51" t="s">
        <v>316</v>
      </c>
      <c r="L51">
        <v>0</v>
      </c>
      <c r="M51">
        <v>0</v>
      </c>
      <c r="N51">
        <v>2</v>
      </c>
      <c r="O51">
        <v>2.4500000000000002</v>
      </c>
      <c r="P51">
        <v>0</v>
      </c>
      <c r="Q51">
        <v>1</v>
      </c>
      <c r="R51">
        <v>12</v>
      </c>
      <c r="S51">
        <v>12</v>
      </c>
      <c r="T51">
        <v>3</v>
      </c>
      <c r="U51">
        <v>0</v>
      </c>
      <c r="V51">
        <v>15</v>
      </c>
      <c r="W51">
        <v>1</v>
      </c>
      <c r="X51">
        <v>2</v>
      </c>
      <c r="Y51">
        <v>2</v>
      </c>
      <c r="Z51">
        <v>1</v>
      </c>
      <c r="AA51">
        <v>6</v>
      </c>
      <c r="AB51">
        <v>21</v>
      </c>
      <c r="AC51">
        <v>21</v>
      </c>
      <c r="AD51" t="s">
        <v>317</v>
      </c>
    </row>
    <row r="52" spans="1:30" x14ac:dyDescent="0.25">
      <c r="A52">
        <v>51</v>
      </c>
      <c r="B52" t="s">
        <v>211</v>
      </c>
      <c r="C52" t="s">
        <v>343</v>
      </c>
      <c r="D52" t="s">
        <v>15</v>
      </c>
      <c r="E52" t="s">
        <v>37</v>
      </c>
      <c r="F52">
        <v>27</v>
      </c>
      <c r="G52" t="s">
        <v>315</v>
      </c>
      <c r="H52" t="s">
        <v>121</v>
      </c>
      <c r="I52" t="s">
        <v>150</v>
      </c>
      <c r="J52">
        <v>1</v>
      </c>
      <c r="K52" t="s">
        <v>316</v>
      </c>
      <c r="L52">
        <v>1</v>
      </c>
      <c r="M52">
        <v>1</v>
      </c>
      <c r="N52">
        <v>0</v>
      </c>
      <c r="O52">
        <v>2</v>
      </c>
      <c r="P52">
        <v>0</v>
      </c>
      <c r="Q52">
        <v>1</v>
      </c>
      <c r="R52">
        <v>10</v>
      </c>
      <c r="S52">
        <v>10</v>
      </c>
      <c r="T52">
        <v>0</v>
      </c>
      <c r="U52">
        <v>0</v>
      </c>
      <c r="V52">
        <v>10</v>
      </c>
      <c r="W52">
        <v>1</v>
      </c>
      <c r="X52">
        <v>6</v>
      </c>
      <c r="Y52">
        <v>2</v>
      </c>
      <c r="Z52">
        <v>1</v>
      </c>
      <c r="AA52">
        <v>9</v>
      </c>
      <c r="AB52">
        <v>20</v>
      </c>
      <c r="AC52">
        <v>20</v>
      </c>
      <c r="AD52" t="s">
        <v>317</v>
      </c>
    </row>
    <row r="53" spans="1:30" x14ac:dyDescent="0.25">
      <c r="A53">
        <v>52</v>
      </c>
      <c r="B53" t="s">
        <v>212</v>
      </c>
      <c r="C53" t="s">
        <v>344</v>
      </c>
      <c r="D53" t="s">
        <v>18</v>
      </c>
      <c r="E53" t="s">
        <v>73</v>
      </c>
      <c r="F53">
        <v>3</v>
      </c>
      <c r="G53" t="s">
        <v>323</v>
      </c>
      <c r="H53" t="s">
        <v>133</v>
      </c>
      <c r="I53" t="s">
        <v>135</v>
      </c>
      <c r="J53">
        <v>1</v>
      </c>
      <c r="K53" t="s">
        <v>316</v>
      </c>
      <c r="L53">
        <v>0</v>
      </c>
      <c r="M53">
        <v>1</v>
      </c>
      <c r="N53">
        <v>0</v>
      </c>
      <c r="O53">
        <v>1</v>
      </c>
      <c r="P53">
        <v>0</v>
      </c>
      <c r="Q53">
        <v>1</v>
      </c>
      <c r="R53">
        <v>5</v>
      </c>
      <c r="S53">
        <v>5</v>
      </c>
      <c r="T53">
        <v>0</v>
      </c>
      <c r="U53">
        <v>0</v>
      </c>
      <c r="V53">
        <v>5</v>
      </c>
      <c r="W53">
        <v>1</v>
      </c>
      <c r="X53">
        <v>2</v>
      </c>
      <c r="Y53">
        <v>2</v>
      </c>
      <c r="Z53">
        <v>1</v>
      </c>
      <c r="AA53">
        <v>6</v>
      </c>
      <c r="AB53">
        <v>11</v>
      </c>
      <c r="AC53">
        <v>11</v>
      </c>
      <c r="AD53" t="s">
        <v>317</v>
      </c>
    </row>
    <row r="54" spans="1:30" x14ac:dyDescent="0.25">
      <c r="A54">
        <v>53</v>
      </c>
      <c r="B54" t="s">
        <v>213</v>
      </c>
      <c r="C54" t="s">
        <v>345</v>
      </c>
      <c r="D54" t="s">
        <v>18</v>
      </c>
      <c r="E54" t="s">
        <v>58</v>
      </c>
      <c r="F54">
        <v>10</v>
      </c>
      <c r="G54" t="s">
        <v>318</v>
      </c>
      <c r="H54" t="s">
        <v>121</v>
      </c>
      <c r="I54" t="s">
        <v>122</v>
      </c>
      <c r="J54">
        <v>1</v>
      </c>
      <c r="K54" t="s">
        <v>316</v>
      </c>
      <c r="L54">
        <v>1</v>
      </c>
      <c r="M54">
        <v>1</v>
      </c>
      <c r="N54">
        <v>0</v>
      </c>
      <c r="O54">
        <v>2</v>
      </c>
      <c r="P54">
        <v>0</v>
      </c>
      <c r="Q54">
        <v>1</v>
      </c>
      <c r="R54">
        <v>8</v>
      </c>
      <c r="S54">
        <v>8</v>
      </c>
      <c r="T54">
        <v>0</v>
      </c>
      <c r="U54">
        <v>2</v>
      </c>
      <c r="V54">
        <v>10</v>
      </c>
      <c r="W54">
        <v>1</v>
      </c>
      <c r="X54">
        <v>8</v>
      </c>
      <c r="Y54">
        <v>2</v>
      </c>
      <c r="Z54">
        <v>1</v>
      </c>
      <c r="AA54">
        <v>11</v>
      </c>
      <c r="AB54">
        <v>22</v>
      </c>
      <c r="AC54">
        <v>22</v>
      </c>
      <c r="AD54" t="s">
        <v>317</v>
      </c>
    </row>
    <row r="55" spans="1:30" x14ac:dyDescent="0.25">
      <c r="A55">
        <v>54</v>
      </c>
      <c r="B55" t="s">
        <v>214</v>
      </c>
      <c r="C55" t="s">
        <v>346</v>
      </c>
      <c r="D55" t="s">
        <v>18</v>
      </c>
      <c r="E55" t="s">
        <v>73</v>
      </c>
      <c r="F55">
        <v>6</v>
      </c>
      <c r="G55" t="s">
        <v>318</v>
      </c>
      <c r="H55" t="s">
        <v>121</v>
      </c>
      <c r="I55" t="s">
        <v>133</v>
      </c>
      <c r="J55">
        <v>3</v>
      </c>
      <c r="K55" t="s">
        <v>316</v>
      </c>
      <c r="L55">
        <v>1</v>
      </c>
      <c r="M55">
        <v>1</v>
      </c>
      <c r="N55">
        <v>2</v>
      </c>
      <c r="O55">
        <v>2.9</v>
      </c>
      <c r="P55">
        <v>0</v>
      </c>
      <c r="Q55">
        <v>1</v>
      </c>
      <c r="R55">
        <v>15</v>
      </c>
      <c r="S55">
        <v>15</v>
      </c>
      <c r="T55">
        <v>3</v>
      </c>
      <c r="U55">
        <v>0</v>
      </c>
      <c r="V55">
        <v>18</v>
      </c>
      <c r="W55">
        <v>1</v>
      </c>
      <c r="X55">
        <v>2</v>
      </c>
      <c r="Y55">
        <v>2</v>
      </c>
      <c r="Z55">
        <v>1</v>
      </c>
      <c r="AA55">
        <v>6</v>
      </c>
      <c r="AB55">
        <v>24</v>
      </c>
      <c r="AC55">
        <v>24</v>
      </c>
      <c r="AD55" t="s">
        <v>317</v>
      </c>
    </row>
    <row r="56" spans="1:30" x14ac:dyDescent="0.25">
      <c r="A56">
        <v>55</v>
      </c>
      <c r="B56" t="s">
        <v>215</v>
      </c>
      <c r="C56" t="s">
        <v>347</v>
      </c>
      <c r="D56" t="s">
        <v>18</v>
      </c>
      <c r="E56" t="s">
        <v>73</v>
      </c>
      <c r="F56">
        <v>2</v>
      </c>
      <c r="G56" t="s">
        <v>323</v>
      </c>
      <c r="H56" t="s">
        <v>133</v>
      </c>
      <c r="I56" t="s">
        <v>135</v>
      </c>
      <c r="J56">
        <v>1</v>
      </c>
      <c r="K56" t="s">
        <v>316</v>
      </c>
      <c r="L56">
        <v>0</v>
      </c>
      <c r="M56">
        <v>0</v>
      </c>
      <c r="N56">
        <v>1</v>
      </c>
      <c r="O56">
        <v>1</v>
      </c>
      <c r="P56">
        <v>0</v>
      </c>
      <c r="Q56">
        <v>1</v>
      </c>
      <c r="R56">
        <v>0</v>
      </c>
      <c r="S56">
        <v>0</v>
      </c>
      <c r="T56">
        <v>3</v>
      </c>
      <c r="U56">
        <v>0</v>
      </c>
      <c r="V56">
        <v>3</v>
      </c>
      <c r="W56">
        <v>1</v>
      </c>
      <c r="X56">
        <v>2</v>
      </c>
      <c r="Y56">
        <v>2</v>
      </c>
      <c r="Z56">
        <v>1</v>
      </c>
      <c r="AA56">
        <v>6</v>
      </c>
      <c r="AB56">
        <v>9</v>
      </c>
      <c r="AC56">
        <v>9</v>
      </c>
      <c r="AD56" t="s">
        <v>317</v>
      </c>
    </row>
    <row r="57" spans="1:30" x14ac:dyDescent="0.25">
      <c r="A57">
        <v>56</v>
      </c>
      <c r="B57" t="s">
        <v>216</v>
      </c>
      <c r="C57" t="s">
        <v>348</v>
      </c>
      <c r="D57" t="s">
        <v>18</v>
      </c>
      <c r="E57" t="s">
        <v>73</v>
      </c>
      <c r="F57">
        <v>6</v>
      </c>
      <c r="G57" t="s">
        <v>318</v>
      </c>
      <c r="H57" t="s">
        <v>121</v>
      </c>
      <c r="I57" t="s">
        <v>127</v>
      </c>
      <c r="J57">
        <v>1</v>
      </c>
      <c r="K57" t="s">
        <v>316</v>
      </c>
      <c r="L57">
        <v>1</v>
      </c>
      <c r="M57">
        <v>1</v>
      </c>
      <c r="N57">
        <v>0</v>
      </c>
      <c r="O57">
        <v>0.6</v>
      </c>
      <c r="P57">
        <v>0</v>
      </c>
      <c r="Q57">
        <v>1</v>
      </c>
      <c r="R57">
        <v>5</v>
      </c>
      <c r="S57">
        <v>5</v>
      </c>
      <c r="T57">
        <v>0</v>
      </c>
      <c r="U57">
        <v>0</v>
      </c>
      <c r="V57">
        <v>5</v>
      </c>
      <c r="W57">
        <v>1</v>
      </c>
      <c r="X57">
        <v>3</v>
      </c>
      <c r="Y57">
        <v>2</v>
      </c>
      <c r="Z57">
        <v>1</v>
      </c>
      <c r="AA57">
        <v>6</v>
      </c>
      <c r="AB57">
        <v>12</v>
      </c>
      <c r="AC57">
        <v>12</v>
      </c>
      <c r="AD57" t="s">
        <v>317</v>
      </c>
    </row>
    <row r="58" spans="1:30" x14ac:dyDescent="0.25">
      <c r="A58">
        <v>57</v>
      </c>
      <c r="B58" t="s">
        <v>217</v>
      </c>
      <c r="C58" t="s">
        <v>349</v>
      </c>
      <c r="D58" t="s">
        <v>18</v>
      </c>
      <c r="E58" t="s">
        <v>73</v>
      </c>
      <c r="F58">
        <v>8</v>
      </c>
      <c r="G58" t="s">
        <v>318</v>
      </c>
      <c r="H58" t="s">
        <v>137</v>
      </c>
      <c r="I58" t="s">
        <v>138</v>
      </c>
      <c r="J58">
        <v>2</v>
      </c>
      <c r="K58" t="s">
        <v>316</v>
      </c>
      <c r="L58">
        <v>1</v>
      </c>
      <c r="M58">
        <v>0</v>
      </c>
      <c r="N58">
        <v>1</v>
      </c>
      <c r="O58">
        <v>2</v>
      </c>
      <c r="P58">
        <v>0</v>
      </c>
      <c r="Q58">
        <v>1</v>
      </c>
      <c r="R58">
        <v>8</v>
      </c>
      <c r="S58">
        <v>8</v>
      </c>
      <c r="T58">
        <v>6</v>
      </c>
      <c r="U58">
        <v>2</v>
      </c>
      <c r="V58">
        <v>16</v>
      </c>
      <c r="W58">
        <v>1</v>
      </c>
      <c r="X58">
        <v>2</v>
      </c>
      <c r="Y58">
        <v>2</v>
      </c>
      <c r="Z58">
        <v>1</v>
      </c>
      <c r="AA58">
        <v>6</v>
      </c>
      <c r="AB58">
        <v>22</v>
      </c>
      <c r="AC58">
        <v>22</v>
      </c>
      <c r="AD58" t="s">
        <v>317</v>
      </c>
    </row>
    <row r="59" spans="1:30" x14ac:dyDescent="0.25">
      <c r="A59">
        <v>58</v>
      </c>
      <c r="B59" t="s">
        <v>218</v>
      </c>
      <c r="C59" t="s">
        <v>350</v>
      </c>
      <c r="D59" t="s">
        <v>18</v>
      </c>
      <c r="E59" t="s">
        <v>73</v>
      </c>
      <c r="F59">
        <v>3</v>
      </c>
      <c r="G59" t="s">
        <v>323</v>
      </c>
      <c r="H59" t="s">
        <v>133</v>
      </c>
      <c r="I59" t="s">
        <v>133</v>
      </c>
      <c r="J59">
        <v>1</v>
      </c>
      <c r="K59" t="s">
        <v>316</v>
      </c>
      <c r="L59">
        <v>0</v>
      </c>
      <c r="M59">
        <v>0</v>
      </c>
      <c r="N59">
        <v>1</v>
      </c>
      <c r="O59">
        <v>1</v>
      </c>
      <c r="P59">
        <v>0</v>
      </c>
      <c r="Q59">
        <v>1</v>
      </c>
      <c r="R59">
        <v>6</v>
      </c>
      <c r="S59">
        <v>6</v>
      </c>
      <c r="T59">
        <v>0</v>
      </c>
      <c r="U59">
        <v>0</v>
      </c>
      <c r="V59">
        <v>6</v>
      </c>
      <c r="W59">
        <v>1</v>
      </c>
      <c r="Y59">
        <v>2</v>
      </c>
      <c r="Z59">
        <v>1</v>
      </c>
      <c r="AA59">
        <v>3</v>
      </c>
      <c r="AB59">
        <v>10</v>
      </c>
      <c r="AC59">
        <v>10</v>
      </c>
      <c r="AD59" t="s">
        <v>317</v>
      </c>
    </row>
    <row r="60" spans="1:30" x14ac:dyDescent="0.25">
      <c r="A60">
        <v>59</v>
      </c>
      <c r="B60" t="s">
        <v>219</v>
      </c>
      <c r="C60" t="s">
        <v>351</v>
      </c>
      <c r="D60" t="s">
        <v>18</v>
      </c>
      <c r="E60" t="s">
        <v>73</v>
      </c>
      <c r="F60">
        <v>2</v>
      </c>
      <c r="G60" t="s">
        <v>323</v>
      </c>
      <c r="H60" t="s">
        <v>137</v>
      </c>
      <c r="I60" t="s">
        <v>138</v>
      </c>
      <c r="J60">
        <v>1</v>
      </c>
      <c r="K60" t="s">
        <v>316</v>
      </c>
      <c r="L60">
        <v>1</v>
      </c>
      <c r="M60">
        <v>0</v>
      </c>
      <c r="N60">
        <v>1</v>
      </c>
      <c r="O60">
        <v>2</v>
      </c>
      <c r="P60">
        <v>0</v>
      </c>
      <c r="Q60">
        <v>1</v>
      </c>
      <c r="R60">
        <v>0</v>
      </c>
      <c r="S60">
        <v>0</v>
      </c>
      <c r="T60">
        <v>6</v>
      </c>
      <c r="U60">
        <v>0</v>
      </c>
      <c r="V60">
        <v>6</v>
      </c>
      <c r="W60">
        <v>1</v>
      </c>
      <c r="X60">
        <v>5</v>
      </c>
      <c r="Y60">
        <v>2</v>
      </c>
      <c r="Z60">
        <v>1</v>
      </c>
      <c r="AA60">
        <v>8</v>
      </c>
      <c r="AB60">
        <v>15</v>
      </c>
      <c r="AC60">
        <v>15</v>
      </c>
      <c r="AD60" t="s">
        <v>317</v>
      </c>
    </row>
    <row r="61" spans="1:30" x14ac:dyDescent="0.25">
      <c r="A61">
        <v>60</v>
      </c>
      <c r="B61" t="s">
        <v>220</v>
      </c>
      <c r="C61" t="s">
        <v>352</v>
      </c>
      <c r="D61" t="s">
        <v>18</v>
      </c>
      <c r="E61" t="s">
        <v>73</v>
      </c>
      <c r="F61">
        <v>2</v>
      </c>
      <c r="G61" t="s">
        <v>323</v>
      </c>
      <c r="H61" t="s">
        <v>137</v>
      </c>
      <c r="I61" t="s">
        <v>138</v>
      </c>
      <c r="J61">
        <v>2</v>
      </c>
      <c r="K61" t="s">
        <v>316</v>
      </c>
      <c r="L61">
        <v>1</v>
      </c>
      <c r="M61">
        <v>0</v>
      </c>
      <c r="N61">
        <v>2</v>
      </c>
      <c r="O61">
        <v>2</v>
      </c>
      <c r="P61">
        <v>0</v>
      </c>
      <c r="Q61">
        <v>1</v>
      </c>
      <c r="R61">
        <v>8</v>
      </c>
      <c r="S61">
        <v>8</v>
      </c>
      <c r="T61">
        <v>6</v>
      </c>
      <c r="U61">
        <v>2</v>
      </c>
      <c r="V61">
        <v>16</v>
      </c>
      <c r="W61">
        <v>1</v>
      </c>
      <c r="Y61">
        <v>2</v>
      </c>
      <c r="Z61">
        <v>1</v>
      </c>
      <c r="AA61">
        <v>3</v>
      </c>
      <c r="AB61">
        <v>20</v>
      </c>
      <c r="AC61">
        <v>20</v>
      </c>
      <c r="AD61" t="s">
        <v>317</v>
      </c>
    </row>
    <row r="62" spans="1:30" x14ac:dyDescent="0.25">
      <c r="A62">
        <v>61</v>
      </c>
      <c r="B62" t="s">
        <v>221</v>
      </c>
      <c r="C62" t="s">
        <v>353</v>
      </c>
      <c r="D62" t="s">
        <v>18</v>
      </c>
      <c r="E62" t="s">
        <v>73</v>
      </c>
      <c r="F62">
        <v>3</v>
      </c>
      <c r="G62" t="s">
        <v>323</v>
      </c>
      <c r="H62" t="s">
        <v>137</v>
      </c>
      <c r="I62" t="s">
        <v>138</v>
      </c>
      <c r="J62">
        <v>2</v>
      </c>
      <c r="K62" t="s">
        <v>331</v>
      </c>
      <c r="L62">
        <v>1</v>
      </c>
      <c r="M62">
        <v>0</v>
      </c>
      <c r="N62">
        <v>2</v>
      </c>
      <c r="O62">
        <v>3</v>
      </c>
      <c r="P62">
        <v>0</v>
      </c>
      <c r="Q62">
        <v>1</v>
      </c>
      <c r="R62">
        <v>0</v>
      </c>
      <c r="S62">
        <v>0</v>
      </c>
      <c r="T62">
        <v>9</v>
      </c>
      <c r="U62">
        <v>0</v>
      </c>
      <c r="V62">
        <v>9</v>
      </c>
      <c r="W62">
        <v>1</v>
      </c>
      <c r="Y62">
        <v>2</v>
      </c>
      <c r="Z62">
        <v>1</v>
      </c>
      <c r="AA62">
        <v>3</v>
      </c>
      <c r="AB62">
        <v>13</v>
      </c>
      <c r="AC62">
        <v>13</v>
      </c>
      <c r="AD62" t="s">
        <v>317</v>
      </c>
    </row>
    <row r="63" spans="1:30" x14ac:dyDescent="0.25">
      <c r="A63">
        <v>62</v>
      </c>
      <c r="B63" t="s">
        <v>222</v>
      </c>
      <c r="C63" t="s">
        <v>354</v>
      </c>
      <c r="D63" t="s">
        <v>15</v>
      </c>
      <c r="E63" t="s">
        <v>37</v>
      </c>
      <c r="F63">
        <v>4</v>
      </c>
      <c r="G63" t="s">
        <v>323</v>
      </c>
      <c r="H63" t="s">
        <v>121</v>
      </c>
      <c r="I63" t="s">
        <v>129</v>
      </c>
      <c r="J63">
        <v>1</v>
      </c>
      <c r="K63" t="s">
        <v>316</v>
      </c>
      <c r="L63">
        <v>1</v>
      </c>
      <c r="M63">
        <v>1</v>
      </c>
      <c r="N63">
        <v>0</v>
      </c>
      <c r="O63">
        <v>1</v>
      </c>
      <c r="P63">
        <v>0</v>
      </c>
      <c r="Q63">
        <v>1</v>
      </c>
      <c r="R63">
        <v>5</v>
      </c>
      <c r="S63">
        <v>5</v>
      </c>
      <c r="T63">
        <v>3</v>
      </c>
      <c r="U63">
        <v>0</v>
      </c>
      <c r="V63">
        <v>8</v>
      </c>
      <c r="W63">
        <v>1</v>
      </c>
      <c r="X63">
        <v>4</v>
      </c>
      <c r="Y63">
        <v>2</v>
      </c>
      <c r="Z63">
        <v>1</v>
      </c>
      <c r="AA63">
        <v>7</v>
      </c>
      <c r="AB63">
        <v>16</v>
      </c>
      <c r="AC63">
        <v>16</v>
      </c>
      <c r="AD63" t="s">
        <v>317</v>
      </c>
    </row>
    <row r="64" spans="1:30" x14ac:dyDescent="0.25">
      <c r="A64">
        <v>63</v>
      </c>
      <c r="B64" t="s">
        <v>223</v>
      </c>
      <c r="C64" t="s">
        <v>355</v>
      </c>
      <c r="D64" t="s">
        <v>18</v>
      </c>
      <c r="E64" t="s">
        <v>73</v>
      </c>
      <c r="F64">
        <v>5</v>
      </c>
      <c r="G64" t="s">
        <v>318</v>
      </c>
      <c r="H64" t="s">
        <v>137</v>
      </c>
      <c r="I64" t="s">
        <v>138</v>
      </c>
      <c r="J64">
        <v>1</v>
      </c>
      <c r="K64" t="s">
        <v>316</v>
      </c>
      <c r="L64">
        <v>1</v>
      </c>
      <c r="M64">
        <v>0</v>
      </c>
      <c r="N64">
        <v>1</v>
      </c>
      <c r="O64">
        <v>2</v>
      </c>
      <c r="P64">
        <v>0</v>
      </c>
      <c r="Q64">
        <v>1</v>
      </c>
      <c r="R64">
        <v>0</v>
      </c>
      <c r="S64">
        <v>0</v>
      </c>
      <c r="T64">
        <v>6</v>
      </c>
      <c r="U64">
        <v>0</v>
      </c>
      <c r="V64">
        <v>6</v>
      </c>
      <c r="W64">
        <v>1</v>
      </c>
      <c r="X64">
        <v>2</v>
      </c>
      <c r="Y64">
        <v>2</v>
      </c>
      <c r="Z64">
        <v>1</v>
      </c>
      <c r="AA64">
        <v>6</v>
      </c>
      <c r="AB64">
        <v>12</v>
      </c>
      <c r="AC64">
        <v>12</v>
      </c>
      <c r="AD64" t="s">
        <v>317</v>
      </c>
    </row>
    <row r="65" spans="1:30" x14ac:dyDescent="0.25">
      <c r="A65">
        <v>64</v>
      </c>
      <c r="B65" t="s">
        <v>224</v>
      </c>
      <c r="C65" t="s">
        <v>356</v>
      </c>
      <c r="D65" t="s">
        <v>18</v>
      </c>
      <c r="E65" t="s">
        <v>73</v>
      </c>
      <c r="F65">
        <v>15</v>
      </c>
      <c r="G65" t="s">
        <v>315</v>
      </c>
      <c r="H65" t="s">
        <v>137</v>
      </c>
      <c r="I65" t="s">
        <v>138</v>
      </c>
      <c r="J65">
        <v>1</v>
      </c>
      <c r="K65" t="s">
        <v>316</v>
      </c>
      <c r="L65">
        <v>1</v>
      </c>
      <c r="M65">
        <v>0</v>
      </c>
      <c r="N65">
        <v>1</v>
      </c>
      <c r="O65">
        <v>2</v>
      </c>
      <c r="P65">
        <v>0</v>
      </c>
      <c r="Q65">
        <v>1</v>
      </c>
      <c r="R65">
        <v>0</v>
      </c>
      <c r="S65">
        <v>0</v>
      </c>
      <c r="T65">
        <v>6</v>
      </c>
      <c r="U65">
        <v>0</v>
      </c>
      <c r="V65">
        <v>6</v>
      </c>
      <c r="W65">
        <v>1</v>
      </c>
      <c r="X65">
        <v>2</v>
      </c>
      <c r="Y65">
        <v>2</v>
      </c>
      <c r="Z65">
        <v>1</v>
      </c>
      <c r="AA65">
        <v>6</v>
      </c>
      <c r="AB65">
        <v>12</v>
      </c>
      <c r="AC65">
        <v>12</v>
      </c>
      <c r="AD65" t="s">
        <v>317</v>
      </c>
    </row>
    <row r="66" spans="1:30" x14ac:dyDescent="0.25">
      <c r="A66">
        <v>65</v>
      </c>
      <c r="B66" t="s">
        <v>225</v>
      </c>
      <c r="C66" t="s">
        <v>357</v>
      </c>
      <c r="D66" t="s">
        <v>18</v>
      </c>
      <c r="E66" t="s">
        <v>73</v>
      </c>
      <c r="F66">
        <v>1</v>
      </c>
      <c r="G66" t="s">
        <v>323</v>
      </c>
      <c r="H66" t="s">
        <v>137</v>
      </c>
      <c r="I66" t="s">
        <v>138</v>
      </c>
      <c r="J66">
        <v>2</v>
      </c>
      <c r="K66" t="s">
        <v>316</v>
      </c>
      <c r="L66">
        <v>0</v>
      </c>
      <c r="M66">
        <v>0</v>
      </c>
      <c r="N66">
        <v>1</v>
      </c>
      <c r="O66">
        <v>2</v>
      </c>
      <c r="P66">
        <v>0</v>
      </c>
      <c r="Q66">
        <v>1</v>
      </c>
      <c r="R66">
        <v>4</v>
      </c>
      <c r="S66">
        <v>4</v>
      </c>
      <c r="T66">
        <v>3</v>
      </c>
      <c r="U66">
        <v>1</v>
      </c>
      <c r="V66">
        <v>8</v>
      </c>
      <c r="W66">
        <v>1</v>
      </c>
      <c r="X66">
        <v>2</v>
      </c>
      <c r="Y66">
        <v>2</v>
      </c>
      <c r="Z66">
        <v>1</v>
      </c>
      <c r="AA66">
        <v>6</v>
      </c>
      <c r="AB66">
        <v>14</v>
      </c>
      <c r="AC66">
        <v>14</v>
      </c>
      <c r="AD66" t="s">
        <v>317</v>
      </c>
    </row>
    <row r="67" spans="1:30" x14ac:dyDescent="0.25">
      <c r="A67">
        <v>66</v>
      </c>
      <c r="B67" t="s">
        <v>226</v>
      </c>
      <c r="C67" t="s">
        <v>358</v>
      </c>
      <c r="D67" t="s">
        <v>18</v>
      </c>
      <c r="E67" t="s">
        <v>41</v>
      </c>
      <c r="F67">
        <v>11</v>
      </c>
      <c r="G67" t="s">
        <v>318</v>
      </c>
      <c r="H67" t="s">
        <v>121</v>
      </c>
      <c r="I67" t="s">
        <v>129</v>
      </c>
      <c r="J67">
        <v>2</v>
      </c>
      <c r="K67" t="s">
        <v>316</v>
      </c>
      <c r="L67">
        <v>0</v>
      </c>
      <c r="M67">
        <v>1</v>
      </c>
      <c r="N67">
        <v>1</v>
      </c>
      <c r="O67">
        <v>2</v>
      </c>
      <c r="P67">
        <v>0</v>
      </c>
      <c r="Q67">
        <v>1</v>
      </c>
      <c r="R67">
        <v>6</v>
      </c>
      <c r="S67">
        <v>6</v>
      </c>
      <c r="T67">
        <v>3</v>
      </c>
      <c r="U67">
        <v>0</v>
      </c>
      <c r="V67">
        <v>9</v>
      </c>
      <c r="W67">
        <v>1</v>
      </c>
      <c r="X67">
        <v>6</v>
      </c>
      <c r="Y67">
        <v>2</v>
      </c>
      <c r="Z67">
        <v>1</v>
      </c>
      <c r="AA67">
        <v>9</v>
      </c>
      <c r="AB67">
        <v>19</v>
      </c>
      <c r="AC67">
        <v>19</v>
      </c>
      <c r="AD67" t="s">
        <v>317</v>
      </c>
    </row>
    <row r="68" spans="1:30" x14ac:dyDescent="0.25">
      <c r="A68">
        <v>67</v>
      </c>
      <c r="B68" t="s">
        <v>227</v>
      </c>
      <c r="C68" t="s">
        <v>359</v>
      </c>
      <c r="D68" t="s">
        <v>18</v>
      </c>
      <c r="E68" t="s">
        <v>73</v>
      </c>
      <c r="F68">
        <v>1</v>
      </c>
      <c r="G68" t="s">
        <v>323</v>
      </c>
      <c r="H68" t="s">
        <v>137</v>
      </c>
      <c r="I68" t="s">
        <v>138</v>
      </c>
      <c r="J68">
        <v>2</v>
      </c>
      <c r="K68" t="s">
        <v>316</v>
      </c>
      <c r="L68">
        <v>0</v>
      </c>
      <c r="M68">
        <v>0</v>
      </c>
      <c r="N68">
        <v>1</v>
      </c>
      <c r="O68">
        <v>2</v>
      </c>
      <c r="P68">
        <v>0</v>
      </c>
      <c r="Q68">
        <v>1</v>
      </c>
      <c r="R68">
        <v>4</v>
      </c>
      <c r="S68">
        <v>4</v>
      </c>
      <c r="T68">
        <v>3</v>
      </c>
      <c r="U68">
        <v>1</v>
      </c>
      <c r="V68">
        <v>8</v>
      </c>
      <c r="W68">
        <v>1</v>
      </c>
      <c r="X68">
        <v>2</v>
      </c>
      <c r="Y68">
        <v>2</v>
      </c>
      <c r="Z68">
        <v>1</v>
      </c>
      <c r="AA68">
        <v>6</v>
      </c>
      <c r="AB68">
        <v>14</v>
      </c>
      <c r="AC68">
        <v>14</v>
      </c>
      <c r="AD68" t="s">
        <v>317</v>
      </c>
    </row>
    <row r="69" spans="1:30" x14ac:dyDescent="0.25">
      <c r="A69">
        <v>68</v>
      </c>
      <c r="B69" t="s">
        <v>228</v>
      </c>
      <c r="C69" t="s">
        <v>360</v>
      </c>
      <c r="D69" t="s">
        <v>18</v>
      </c>
      <c r="E69" t="s">
        <v>73</v>
      </c>
      <c r="F69">
        <v>5</v>
      </c>
      <c r="G69" t="s">
        <v>318</v>
      </c>
      <c r="H69" t="s">
        <v>121</v>
      </c>
      <c r="I69" t="s">
        <v>128</v>
      </c>
      <c r="J69">
        <v>2</v>
      </c>
      <c r="K69" t="s">
        <v>316</v>
      </c>
      <c r="L69">
        <v>0</v>
      </c>
      <c r="M69">
        <v>1</v>
      </c>
      <c r="N69">
        <v>1</v>
      </c>
      <c r="O69">
        <v>1.45</v>
      </c>
      <c r="P69">
        <v>0</v>
      </c>
      <c r="Q69">
        <v>1</v>
      </c>
      <c r="R69">
        <v>11</v>
      </c>
      <c r="S69">
        <v>11</v>
      </c>
      <c r="T69">
        <v>6</v>
      </c>
      <c r="U69">
        <v>0</v>
      </c>
      <c r="V69">
        <v>17</v>
      </c>
      <c r="W69">
        <v>1</v>
      </c>
      <c r="X69">
        <v>3</v>
      </c>
      <c r="Y69">
        <v>2</v>
      </c>
      <c r="Z69">
        <v>1</v>
      </c>
      <c r="AA69">
        <v>6</v>
      </c>
      <c r="AB69">
        <v>24</v>
      </c>
      <c r="AC69">
        <v>24</v>
      </c>
      <c r="AD69" t="s">
        <v>317</v>
      </c>
    </row>
    <row r="70" spans="1:30" x14ac:dyDescent="0.25">
      <c r="A70">
        <v>69</v>
      </c>
      <c r="B70" t="s">
        <v>229</v>
      </c>
      <c r="C70" t="s">
        <v>361</v>
      </c>
      <c r="D70" t="s">
        <v>18</v>
      </c>
      <c r="E70" t="s">
        <v>37</v>
      </c>
      <c r="F70">
        <v>11</v>
      </c>
      <c r="G70" t="s">
        <v>318</v>
      </c>
      <c r="H70" t="s">
        <v>137</v>
      </c>
      <c r="I70" t="s">
        <v>138</v>
      </c>
      <c r="J70">
        <v>1</v>
      </c>
      <c r="K70" t="s">
        <v>316</v>
      </c>
      <c r="L70">
        <v>1</v>
      </c>
      <c r="M70">
        <v>0</v>
      </c>
      <c r="N70">
        <v>1</v>
      </c>
      <c r="O70">
        <v>3</v>
      </c>
      <c r="P70">
        <v>0</v>
      </c>
      <c r="Q70">
        <v>1</v>
      </c>
      <c r="R70">
        <v>12</v>
      </c>
      <c r="S70">
        <v>12</v>
      </c>
      <c r="T70">
        <v>0</v>
      </c>
      <c r="U70">
        <v>3</v>
      </c>
      <c r="V70">
        <v>15</v>
      </c>
      <c r="W70">
        <v>1</v>
      </c>
      <c r="X70">
        <v>3</v>
      </c>
      <c r="Y70">
        <v>2</v>
      </c>
      <c r="Z70">
        <v>1</v>
      </c>
      <c r="AA70">
        <v>6</v>
      </c>
      <c r="AB70">
        <v>22</v>
      </c>
      <c r="AC70">
        <v>22</v>
      </c>
      <c r="AD70" t="s">
        <v>317</v>
      </c>
    </row>
    <row r="71" spans="1:30" x14ac:dyDescent="0.25">
      <c r="A71">
        <v>70</v>
      </c>
      <c r="B71" t="s">
        <v>230</v>
      </c>
      <c r="C71" t="s">
        <v>362</v>
      </c>
      <c r="D71" t="s">
        <v>18</v>
      </c>
      <c r="E71" t="s">
        <v>73</v>
      </c>
      <c r="F71">
        <v>3</v>
      </c>
      <c r="G71" t="s">
        <v>323</v>
      </c>
      <c r="H71" t="s">
        <v>137</v>
      </c>
      <c r="I71" t="s">
        <v>138</v>
      </c>
      <c r="J71">
        <v>2</v>
      </c>
      <c r="K71" t="s">
        <v>316</v>
      </c>
      <c r="L71">
        <v>0</v>
      </c>
      <c r="M71">
        <v>0</v>
      </c>
      <c r="N71">
        <v>2</v>
      </c>
      <c r="O71">
        <v>2</v>
      </c>
      <c r="P71">
        <v>0</v>
      </c>
      <c r="Q71">
        <v>1</v>
      </c>
      <c r="R71">
        <v>4</v>
      </c>
      <c r="S71">
        <v>4</v>
      </c>
      <c r="T71">
        <v>3</v>
      </c>
      <c r="U71">
        <v>1</v>
      </c>
      <c r="V71">
        <v>8</v>
      </c>
      <c r="W71">
        <v>1</v>
      </c>
      <c r="X71">
        <v>1</v>
      </c>
      <c r="Y71">
        <v>2</v>
      </c>
      <c r="Z71">
        <v>1</v>
      </c>
      <c r="AA71">
        <v>4</v>
      </c>
      <c r="AB71">
        <v>13</v>
      </c>
      <c r="AC71">
        <v>13</v>
      </c>
      <c r="AD71" t="s">
        <v>317</v>
      </c>
    </row>
    <row r="72" spans="1:30" x14ac:dyDescent="0.25">
      <c r="A72">
        <v>71</v>
      </c>
      <c r="B72" t="s">
        <v>231</v>
      </c>
      <c r="C72" t="s">
        <v>363</v>
      </c>
      <c r="D72" t="s">
        <v>18</v>
      </c>
      <c r="E72" t="s">
        <v>73</v>
      </c>
      <c r="F72">
        <v>1</v>
      </c>
      <c r="G72" t="s">
        <v>323</v>
      </c>
      <c r="H72" t="s">
        <v>137</v>
      </c>
      <c r="I72" t="s">
        <v>138</v>
      </c>
      <c r="J72">
        <v>1</v>
      </c>
      <c r="K72" t="s">
        <v>316</v>
      </c>
      <c r="L72">
        <v>1</v>
      </c>
      <c r="M72">
        <v>0</v>
      </c>
      <c r="N72">
        <v>1</v>
      </c>
      <c r="O72">
        <v>3</v>
      </c>
      <c r="P72">
        <v>0</v>
      </c>
      <c r="Q72">
        <v>1</v>
      </c>
      <c r="R72">
        <v>0</v>
      </c>
      <c r="S72">
        <v>0</v>
      </c>
      <c r="T72">
        <v>9</v>
      </c>
      <c r="U72">
        <v>0</v>
      </c>
      <c r="V72">
        <v>9</v>
      </c>
      <c r="W72">
        <v>1</v>
      </c>
      <c r="X72">
        <v>3</v>
      </c>
      <c r="Y72">
        <v>2</v>
      </c>
      <c r="Z72">
        <v>1</v>
      </c>
      <c r="AA72">
        <v>6</v>
      </c>
      <c r="AB72">
        <v>16</v>
      </c>
      <c r="AC72">
        <v>16</v>
      </c>
      <c r="AD72" t="s">
        <v>317</v>
      </c>
    </row>
    <row r="73" spans="1:30" x14ac:dyDescent="0.25">
      <c r="A73">
        <v>72</v>
      </c>
      <c r="B73" t="s">
        <v>232</v>
      </c>
      <c r="C73" t="s">
        <v>364</v>
      </c>
      <c r="D73" t="s">
        <v>18</v>
      </c>
      <c r="E73" t="s">
        <v>41</v>
      </c>
      <c r="F73">
        <v>24</v>
      </c>
      <c r="G73" t="s">
        <v>315</v>
      </c>
      <c r="H73" t="s">
        <v>121</v>
      </c>
      <c r="I73" t="s">
        <v>122</v>
      </c>
      <c r="J73">
        <v>2</v>
      </c>
      <c r="K73" t="s">
        <v>316</v>
      </c>
      <c r="L73">
        <v>0</v>
      </c>
      <c r="M73">
        <v>1</v>
      </c>
      <c r="N73">
        <v>1</v>
      </c>
      <c r="O73">
        <v>3</v>
      </c>
      <c r="P73">
        <v>0</v>
      </c>
      <c r="Q73">
        <v>1</v>
      </c>
      <c r="R73">
        <v>14</v>
      </c>
      <c r="S73">
        <v>14</v>
      </c>
      <c r="T73">
        <v>0</v>
      </c>
      <c r="U73">
        <v>2</v>
      </c>
      <c r="V73">
        <v>16</v>
      </c>
      <c r="W73">
        <v>1</v>
      </c>
      <c r="X73">
        <v>2</v>
      </c>
      <c r="Y73">
        <v>2</v>
      </c>
      <c r="Z73">
        <v>1</v>
      </c>
      <c r="AA73">
        <v>6</v>
      </c>
      <c r="AB73">
        <v>22</v>
      </c>
      <c r="AC73">
        <v>22</v>
      </c>
      <c r="AD73" t="s">
        <v>317</v>
      </c>
    </row>
    <row r="74" spans="1:30" x14ac:dyDescent="0.25">
      <c r="A74">
        <v>73</v>
      </c>
      <c r="B74" t="s">
        <v>233</v>
      </c>
      <c r="C74" t="s">
        <v>365</v>
      </c>
      <c r="D74" t="s">
        <v>18</v>
      </c>
      <c r="E74" t="s">
        <v>73</v>
      </c>
      <c r="F74">
        <v>7</v>
      </c>
      <c r="G74" t="s">
        <v>318</v>
      </c>
      <c r="H74" t="s">
        <v>137</v>
      </c>
      <c r="I74" t="s">
        <v>138</v>
      </c>
      <c r="J74">
        <v>1</v>
      </c>
      <c r="K74" t="s">
        <v>316</v>
      </c>
      <c r="L74">
        <v>1</v>
      </c>
      <c r="M74">
        <v>0</v>
      </c>
      <c r="N74">
        <v>1</v>
      </c>
      <c r="O74">
        <v>3</v>
      </c>
      <c r="P74">
        <v>0</v>
      </c>
      <c r="Q74">
        <v>1</v>
      </c>
      <c r="R74">
        <v>12</v>
      </c>
      <c r="S74">
        <v>12</v>
      </c>
      <c r="T74">
        <v>0</v>
      </c>
      <c r="U74">
        <v>3</v>
      </c>
      <c r="V74">
        <v>15</v>
      </c>
      <c r="W74">
        <v>1</v>
      </c>
      <c r="X74">
        <v>3</v>
      </c>
      <c r="Y74">
        <v>2</v>
      </c>
      <c r="Z74">
        <v>1</v>
      </c>
      <c r="AA74">
        <v>6</v>
      </c>
      <c r="AB74">
        <v>22</v>
      </c>
      <c r="AC74">
        <v>22</v>
      </c>
      <c r="AD74" t="s">
        <v>317</v>
      </c>
    </row>
    <row r="75" spans="1:30" x14ac:dyDescent="0.25">
      <c r="A75">
        <v>74</v>
      </c>
      <c r="B75" t="s">
        <v>234</v>
      </c>
      <c r="C75" t="s">
        <v>366</v>
      </c>
      <c r="D75" t="s">
        <v>15</v>
      </c>
      <c r="E75" t="s">
        <v>37</v>
      </c>
      <c r="F75">
        <v>15</v>
      </c>
      <c r="G75" t="s">
        <v>315</v>
      </c>
      <c r="H75" t="s">
        <v>121</v>
      </c>
      <c r="I75" t="s">
        <v>130</v>
      </c>
      <c r="J75">
        <v>1</v>
      </c>
      <c r="K75" t="s">
        <v>316</v>
      </c>
      <c r="L75">
        <v>0</v>
      </c>
      <c r="M75">
        <v>1</v>
      </c>
      <c r="N75">
        <v>0</v>
      </c>
      <c r="O75">
        <v>1</v>
      </c>
      <c r="P75">
        <v>0</v>
      </c>
      <c r="Q75">
        <v>1</v>
      </c>
      <c r="R75">
        <v>6</v>
      </c>
      <c r="S75">
        <v>6</v>
      </c>
      <c r="T75">
        <v>0</v>
      </c>
      <c r="U75">
        <v>0</v>
      </c>
      <c r="V75">
        <v>6</v>
      </c>
      <c r="W75">
        <v>1</v>
      </c>
      <c r="X75">
        <v>9</v>
      </c>
      <c r="Y75">
        <v>2</v>
      </c>
      <c r="Z75">
        <v>1</v>
      </c>
      <c r="AA75">
        <v>12</v>
      </c>
      <c r="AB75">
        <v>19</v>
      </c>
      <c r="AC75">
        <v>19</v>
      </c>
      <c r="AD75" t="s">
        <v>317</v>
      </c>
    </row>
    <row r="76" spans="1:30" x14ac:dyDescent="0.25">
      <c r="A76">
        <v>75</v>
      </c>
      <c r="B76" t="s">
        <v>235</v>
      </c>
      <c r="C76" t="s">
        <v>367</v>
      </c>
      <c r="D76" t="s">
        <v>15</v>
      </c>
      <c r="E76" t="s">
        <v>37</v>
      </c>
      <c r="F76">
        <v>15</v>
      </c>
      <c r="G76" t="s">
        <v>315</v>
      </c>
      <c r="H76" t="s">
        <v>137</v>
      </c>
      <c r="I76" t="s">
        <v>138</v>
      </c>
      <c r="J76">
        <v>2</v>
      </c>
      <c r="K76" t="s">
        <v>316</v>
      </c>
      <c r="L76">
        <v>1</v>
      </c>
      <c r="M76">
        <v>0</v>
      </c>
      <c r="N76">
        <v>2</v>
      </c>
      <c r="O76">
        <v>2</v>
      </c>
      <c r="P76">
        <v>0</v>
      </c>
      <c r="Q76">
        <v>1</v>
      </c>
      <c r="R76">
        <v>8</v>
      </c>
      <c r="S76">
        <v>8</v>
      </c>
      <c r="T76">
        <v>6</v>
      </c>
      <c r="U76">
        <v>2</v>
      </c>
      <c r="V76">
        <v>16</v>
      </c>
      <c r="W76">
        <v>3</v>
      </c>
      <c r="X76">
        <v>12</v>
      </c>
      <c r="Y76">
        <v>6</v>
      </c>
      <c r="Z76">
        <v>1</v>
      </c>
      <c r="AA76">
        <v>19</v>
      </c>
      <c r="AB76">
        <v>38</v>
      </c>
      <c r="AC76">
        <v>38</v>
      </c>
      <c r="AD76" t="s">
        <v>317</v>
      </c>
    </row>
    <row r="77" spans="1:30" x14ac:dyDescent="0.25">
      <c r="A77">
        <v>76</v>
      </c>
      <c r="B77" t="s">
        <v>236</v>
      </c>
      <c r="C77" t="s">
        <v>368</v>
      </c>
      <c r="D77" t="s">
        <v>15</v>
      </c>
      <c r="E77" t="s">
        <v>37</v>
      </c>
      <c r="F77">
        <v>13</v>
      </c>
      <c r="G77" t="s">
        <v>318</v>
      </c>
      <c r="H77" t="s">
        <v>121</v>
      </c>
      <c r="I77" t="s">
        <v>131</v>
      </c>
      <c r="J77">
        <v>1</v>
      </c>
      <c r="K77" t="s">
        <v>316</v>
      </c>
      <c r="L77">
        <v>0</v>
      </c>
      <c r="M77">
        <v>1</v>
      </c>
      <c r="N77">
        <v>0</v>
      </c>
      <c r="O77">
        <v>1</v>
      </c>
      <c r="P77">
        <v>0</v>
      </c>
      <c r="Q77">
        <v>1</v>
      </c>
      <c r="R77">
        <v>5</v>
      </c>
      <c r="S77">
        <v>5</v>
      </c>
      <c r="T77">
        <v>6</v>
      </c>
      <c r="U77">
        <v>0</v>
      </c>
      <c r="V77">
        <v>11</v>
      </c>
      <c r="W77">
        <v>1</v>
      </c>
      <c r="X77">
        <v>3</v>
      </c>
      <c r="Y77">
        <v>2</v>
      </c>
      <c r="Z77">
        <v>1</v>
      </c>
      <c r="AA77">
        <v>6</v>
      </c>
      <c r="AB77">
        <v>18</v>
      </c>
      <c r="AC77">
        <v>18</v>
      </c>
      <c r="AD77" t="s">
        <v>317</v>
      </c>
    </row>
    <row r="78" spans="1:30" x14ac:dyDescent="0.25">
      <c r="A78">
        <v>77</v>
      </c>
      <c r="B78" t="s">
        <v>237</v>
      </c>
      <c r="C78" t="s">
        <v>369</v>
      </c>
      <c r="D78" t="s">
        <v>18</v>
      </c>
      <c r="E78" t="s">
        <v>73</v>
      </c>
      <c r="F78">
        <v>4</v>
      </c>
      <c r="G78" t="s">
        <v>323</v>
      </c>
      <c r="H78" t="s">
        <v>137</v>
      </c>
      <c r="I78" t="s">
        <v>138</v>
      </c>
      <c r="J78">
        <v>1</v>
      </c>
      <c r="K78" t="s">
        <v>316</v>
      </c>
      <c r="L78">
        <v>1</v>
      </c>
      <c r="M78">
        <v>0</v>
      </c>
      <c r="N78">
        <v>1</v>
      </c>
      <c r="O78">
        <v>3</v>
      </c>
      <c r="P78">
        <v>0</v>
      </c>
      <c r="Q78">
        <v>1</v>
      </c>
      <c r="R78">
        <v>12</v>
      </c>
      <c r="S78">
        <v>12</v>
      </c>
      <c r="T78">
        <v>0</v>
      </c>
      <c r="U78">
        <v>3</v>
      </c>
      <c r="V78">
        <v>15</v>
      </c>
      <c r="W78">
        <v>1</v>
      </c>
      <c r="X78">
        <v>3</v>
      </c>
      <c r="Y78">
        <v>2</v>
      </c>
      <c r="Z78">
        <v>1</v>
      </c>
      <c r="AA78">
        <v>6</v>
      </c>
      <c r="AB78">
        <v>22</v>
      </c>
      <c r="AC78">
        <v>22</v>
      </c>
      <c r="AD78" t="s">
        <v>317</v>
      </c>
    </row>
    <row r="79" spans="1:30" x14ac:dyDescent="0.25">
      <c r="A79">
        <v>78</v>
      </c>
      <c r="B79" t="s">
        <v>238</v>
      </c>
      <c r="C79" t="s">
        <v>370</v>
      </c>
      <c r="D79" t="s">
        <v>15</v>
      </c>
      <c r="E79" t="s">
        <v>37</v>
      </c>
      <c r="F79">
        <v>8</v>
      </c>
      <c r="G79" t="s">
        <v>318</v>
      </c>
      <c r="H79" t="s">
        <v>121</v>
      </c>
      <c r="I79" t="s">
        <v>132</v>
      </c>
      <c r="J79">
        <v>2</v>
      </c>
      <c r="K79" t="s">
        <v>331</v>
      </c>
      <c r="L79">
        <v>1</v>
      </c>
      <c r="M79">
        <v>1</v>
      </c>
      <c r="N79">
        <v>0</v>
      </c>
      <c r="O79">
        <v>3.6</v>
      </c>
      <c r="P79">
        <v>0</v>
      </c>
      <c r="Q79">
        <v>1</v>
      </c>
      <c r="R79">
        <v>15</v>
      </c>
      <c r="S79">
        <v>6</v>
      </c>
      <c r="T79">
        <v>9</v>
      </c>
      <c r="U79">
        <v>0</v>
      </c>
      <c r="V79">
        <v>15</v>
      </c>
      <c r="W79">
        <v>1</v>
      </c>
      <c r="X79">
        <v>6</v>
      </c>
      <c r="Y79">
        <v>2</v>
      </c>
      <c r="Z79">
        <v>1</v>
      </c>
      <c r="AA79">
        <v>9</v>
      </c>
      <c r="AB79">
        <v>25</v>
      </c>
      <c r="AC79">
        <v>25</v>
      </c>
      <c r="AD79" t="s">
        <v>317</v>
      </c>
    </row>
    <row r="80" spans="1:30" x14ac:dyDescent="0.25">
      <c r="A80">
        <v>79</v>
      </c>
      <c r="B80" t="s">
        <v>239</v>
      </c>
      <c r="C80" t="s">
        <v>371</v>
      </c>
      <c r="D80" t="s">
        <v>18</v>
      </c>
      <c r="E80" t="s">
        <v>73</v>
      </c>
      <c r="F80">
        <v>6</v>
      </c>
      <c r="G80" t="s">
        <v>318</v>
      </c>
      <c r="H80" t="s">
        <v>137</v>
      </c>
      <c r="I80" t="s">
        <v>138</v>
      </c>
      <c r="J80">
        <v>1</v>
      </c>
      <c r="K80" t="s">
        <v>316</v>
      </c>
      <c r="L80">
        <v>1</v>
      </c>
      <c r="M80">
        <v>0</v>
      </c>
      <c r="N80">
        <v>1</v>
      </c>
      <c r="O80">
        <v>3</v>
      </c>
      <c r="P80">
        <v>0</v>
      </c>
      <c r="Q80">
        <v>1</v>
      </c>
      <c r="R80">
        <v>0</v>
      </c>
      <c r="S80">
        <v>0</v>
      </c>
      <c r="T80">
        <v>9</v>
      </c>
      <c r="U80">
        <v>0</v>
      </c>
      <c r="V80">
        <v>9</v>
      </c>
      <c r="W80">
        <v>1</v>
      </c>
      <c r="X80">
        <v>2</v>
      </c>
      <c r="Y80">
        <v>2</v>
      </c>
      <c r="Z80">
        <v>1</v>
      </c>
      <c r="AA80">
        <v>6</v>
      </c>
      <c r="AB80">
        <v>15</v>
      </c>
      <c r="AC80">
        <v>15</v>
      </c>
      <c r="AD80" t="s">
        <v>317</v>
      </c>
    </row>
    <row r="81" spans="1:30" x14ac:dyDescent="0.25">
      <c r="A81">
        <v>80</v>
      </c>
      <c r="B81" t="s">
        <v>240</v>
      </c>
      <c r="C81" t="s">
        <v>372</v>
      </c>
      <c r="D81" t="s">
        <v>18</v>
      </c>
      <c r="E81" t="s">
        <v>73</v>
      </c>
      <c r="F81">
        <v>8</v>
      </c>
      <c r="G81" t="s">
        <v>318</v>
      </c>
      <c r="H81" t="s">
        <v>137</v>
      </c>
      <c r="I81" t="s">
        <v>138</v>
      </c>
      <c r="J81">
        <v>2</v>
      </c>
      <c r="K81" t="s">
        <v>316</v>
      </c>
      <c r="L81">
        <v>1</v>
      </c>
      <c r="M81">
        <v>0</v>
      </c>
      <c r="N81">
        <v>2</v>
      </c>
      <c r="O81">
        <v>2</v>
      </c>
      <c r="P81">
        <v>0</v>
      </c>
      <c r="Q81">
        <v>1</v>
      </c>
      <c r="R81">
        <v>8</v>
      </c>
      <c r="S81">
        <v>8</v>
      </c>
      <c r="T81">
        <v>6</v>
      </c>
      <c r="U81">
        <v>2</v>
      </c>
      <c r="V81">
        <v>16</v>
      </c>
      <c r="W81">
        <v>1</v>
      </c>
      <c r="X81">
        <v>3</v>
      </c>
      <c r="Y81">
        <v>2</v>
      </c>
      <c r="Z81">
        <v>1</v>
      </c>
      <c r="AA81">
        <v>6</v>
      </c>
      <c r="AB81">
        <v>23</v>
      </c>
      <c r="AC81">
        <v>23</v>
      </c>
      <c r="AD81" t="s">
        <v>317</v>
      </c>
    </row>
    <row r="82" spans="1:30" x14ac:dyDescent="0.25">
      <c r="A82">
        <v>81</v>
      </c>
      <c r="B82" t="s">
        <v>241</v>
      </c>
      <c r="C82" t="s">
        <v>373</v>
      </c>
      <c r="D82" t="s">
        <v>18</v>
      </c>
      <c r="E82" t="s">
        <v>73</v>
      </c>
      <c r="F82">
        <v>3</v>
      </c>
      <c r="G82" t="s">
        <v>323</v>
      </c>
      <c r="H82" t="s">
        <v>121</v>
      </c>
      <c r="I82" t="s">
        <v>138</v>
      </c>
      <c r="J82">
        <v>2</v>
      </c>
      <c r="K82" t="s">
        <v>316</v>
      </c>
      <c r="L82">
        <v>0</v>
      </c>
      <c r="M82">
        <v>1</v>
      </c>
      <c r="N82">
        <v>0</v>
      </c>
      <c r="O82">
        <v>0.6</v>
      </c>
      <c r="P82">
        <v>0</v>
      </c>
      <c r="Q82">
        <v>1</v>
      </c>
      <c r="R82">
        <v>5</v>
      </c>
      <c r="S82">
        <v>5</v>
      </c>
      <c r="T82">
        <v>2</v>
      </c>
      <c r="U82">
        <v>0</v>
      </c>
      <c r="V82">
        <v>7</v>
      </c>
      <c r="W82">
        <v>1</v>
      </c>
      <c r="X82">
        <v>2</v>
      </c>
      <c r="Y82">
        <v>2</v>
      </c>
      <c r="Z82">
        <v>1</v>
      </c>
      <c r="AA82">
        <v>6</v>
      </c>
      <c r="AB82">
        <v>13</v>
      </c>
      <c r="AC82">
        <v>13</v>
      </c>
      <c r="AD82" t="s">
        <v>317</v>
      </c>
    </row>
    <row r="83" spans="1:30" x14ac:dyDescent="0.25">
      <c r="A83">
        <v>82</v>
      </c>
      <c r="B83" t="s">
        <v>242</v>
      </c>
      <c r="C83" t="s">
        <v>374</v>
      </c>
      <c r="D83" t="s">
        <v>18</v>
      </c>
      <c r="E83" t="s">
        <v>39</v>
      </c>
      <c r="F83">
        <v>26</v>
      </c>
      <c r="G83" t="s">
        <v>315</v>
      </c>
      <c r="H83" t="s">
        <v>121</v>
      </c>
      <c r="I83" t="s">
        <v>126</v>
      </c>
      <c r="J83">
        <v>2</v>
      </c>
      <c r="K83" t="s">
        <v>316</v>
      </c>
      <c r="L83">
        <v>1</v>
      </c>
      <c r="M83">
        <v>2</v>
      </c>
      <c r="N83">
        <v>0</v>
      </c>
      <c r="O83">
        <v>2</v>
      </c>
      <c r="P83">
        <v>0</v>
      </c>
      <c r="Q83">
        <v>1</v>
      </c>
      <c r="R83">
        <v>8</v>
      </c>
      <c r="S83">
        <v>8</v>
      </c>
      <c r="T83">
        <v>7</v>
      </c>
      <c r="U83">
        <v>0</v>
      </c>
      <c r="V83">
        <v>15</v>
      </c>
      <c r="W83">
        <v>1</v>
      </c>
      <c r="X83">
        <v>2</v>
      </c>
      <c r="Y83">
        <v>2</v>
      </c>
      <c r="Z83">
        <v>1</v>
      </c>
      <c r="AA83">
        <v>6</v>
      </c>
      <c r="AB83">
        <v>21</v>
      </c>
      <c r="AC83">
        <v>21</v>
      </c>
      <c r="AD83" t="s">
        <v>317</v>
      </c>
    </row>
    <row r="84" spans="1:30" x14ac:dyDescent="0.25">
      <c r="A84">
        <v>83</v>
      </c>
      <c r="B84" t="s">
        <v>243</v>
      </c>
      <c r="C84" t="s">
        <v>375</v>
      </c>
      <c r="D84" t="s">
        <v>18</v>
      </c>
      <c r="E84" t="s">
        <v>73</v>
      </c>
      <c r="F84">
        <v>8</v>
      </c>
      <c r="G84" t="s">
        <v>318</v>
      </c>
      <c r="H84" t="s">
        <v>137</v>
      </c>
      <c r="I84" t="s">
        <v>138</v>
      </c>
      <c r="J84">
        <v>2</v>
      </c>
      <c r="K84" t="s">
        <v>316</v>
      </c>
      <c r="L84">
        <v>0</v>
      </c>
      <c r="M84">
        <v>0</v>
      </c>
      <c r="N84">
        <v>2</v>
      </c>
      <c r="O84">
        <v>1</v>
      </c>
      <c r="P84">
        <v>0</v>
      </c>
      <c r="Q84">
        <v>1</v>
      </c>
      <c r="R84">
        <v>4</v>
      </c>
      <c r="S84">
        <v>4</v>
      </c>
      <c r="T84">
        <v>3</v>
      </c>
      <c r="U84">
        <v>1</v>
      </c>
      <c r="V84">
        <v>8</v>
      </c>
      <c r="W84">
        <v>1</v>
      </c>
      <c r="X84">
        <v>2</v>
      </c>
      <c r="Y84">
        <v>2</v>
      </c>
      <c r="Z84">
        <v>1</v>
      </c>
      <c r="AA84">
        <v>6</v>
      </c>
      <c r="AB84">
        <v>14</v>
      </c>
      <c r="AC84">
        <v>14</v>
      </c>
      <c r="AD84" t="s">
        <v>317</v>
      </c>
    </row>
    <row r="85" spans="1:30" x14ac:dyDescent="0.25">
      <c r="A85">
        <v>84</v>
      </c>
      <c r="B85" t="s">
        <v>244</v>
      </c>
      <c r="C85" t="s">
        <v>376</v>
      </c>
      <c r="D85" t="s">
        <v>15</v>
      </c>
      <c r="E85" t="s">
        <v>73</v>
      </c>
      <c r="F85">
        <v>11</v>
      </c>
      <c r="G85" t="s">
        <v>318</v>
      </c>
      <c r="H85" t="s">
        <v>137</v>
      </c>
      <c r="I85" t="s">
        <v>138</v>
      </c>
      <c r="J85">
        <v>1</v>
      </c>
      <c r="K85" t="s">
        <v>316</v>
      </c>
      <c r="L85">
        <v>1</v>
      </c>
      <c r="M85">
        <v>0</v>
      </c>
      <c r="N85">
        <v>1</v>
      </c>
      <c r="O85">
        <v>3</v>
      </c>
      <c r="P85">
        <v>0</v>
      </c>
      <c r="Q85">
        <v>1</v>
      </c>
      <c r="R85">
        <v>12</v>
      </c>
      <c r="S85">
        <v>12</v>
      </c>
      <c r="T85">
        <v>0</v>
      </c>
      <c r="U85">
        <v>3</v>
      </c>
      <c r="V85">
        <v>15</v>
      </c>
      <c r="W85">
        <v>3</v>
      </c>
      <c r="X85">
        <v>4</v>
      </c>
      <c r="Y85">
        <v>2</v>
      </c>
      <c r="Z85">
        <v>1</v>
      </c>
      <c r="AA85">
        <v>7</v>
      </c>
      <c r="AB85">
        <v>25</v>
      </c>
      <c r="AC85">
        <v>25</v>
      </c>
      <c r="AD85" t="s">
        <v>317</v>
      </c>
    </row>
    <row r="86" spans="1:30" x14ac:dyDescent="0.25">
      <c r="A86">
        <v>85</v>
      </c>
      <c r="B86" t="s">
        <v>245</v>
      </c>
      <c r="C86" t="s">
        <v>377</v>
      </c>
      <c r="D86" t="s">
        <v>18</v>
      </c>
      <c r="E86" t="s">
        <v>41</v>
      </c>
      <c r="F86">
        <v>11</v>
      </c>
      <c r="G86" t="s">
        <v>318</v>
      </c>
      <c r="H86" t="s">
        <v>121</v>
      </c>
      <c r="I86" t="s">
        <v>129</v>
      </c>
      <c r="J86">
        <v>1</v>
      </c>
      <c r="K86" t="s">
        <v>316</v>
      </c>
      <c r="L86">
        <v>1</v>
      </c>
      <c r="M86">
        <v>1</v>
      </c>
      <c r="N86">
        <v>0</v>
      </c>
      <c r="O86">
        <v>1</v>
      </c>
      <c r="P86">
        <v>0</v>
      </c>
      <c r="Q86">
        <v>1</v>
      </c>
      <c r="R86">
        <v>5</v>
      </c>
      <c r="S86">
        <v>5</v>
      </c>
      <c r="T86">
        <v>3</v>
      </c>
      <c r="U86">
        <v>0</v>
      </c>
      <c r="V86">
        <v>8</v>
      </c>
      <c r="W86">
        <v>1</v>
      </c>
      <c r="X86">
        <v>2</v>
      </c>
      <c r="Y86">
        <v>2</v>
      </c>
      <c r="Z86">
        <v>1</v>
      </c>
      <c r="AA86">
        <v>6</v>
      </c>
      <c r="AB86">
        <v>14</v>
      </c>
      <c r="AC86">
        <v>14</v>
      </c>
      <c r="AD86" t="s">
        <v>317</v>
      </c>
    </row>
    <row r="87" spans="1:30" x14ac:dyDescent="0.25">
      <c r="A87">
        <v>86</v>
      </c>
      <c r="B87" t="s">
        <v>246</v>
      </c>
      <c r="C87" t="s">
        <v>378</v>
      </c>
      <c r="D87" t="s">
        <v>18</v>
      </c>
      <c r="E87" t="s">
        <v>73</v>
      </c>
      <c r="F87">
        <v>6</v>
      </c>
      <c r="G87" t="s">
        <v>318</v>
      </c>
      <c r="H87" t="s">
        <v>137</v>
      </c>
      <c r="I87" t="s">
        <v>138</v>
      </c>
      <c r="J87">
        <v>1</v>
      </c>
      <c r="K87" t="s">
        <v>316</v>
      </c>
      <c r="L87">
        <v>1</v>
      </c>
      <c r="M87">
        <v>0</v>
      </c>
      <c r="N87">
        <v>1</v>
      </c>
      <c r="O87">
        <v>2</v>
      </c>
      <c r="P87">
        <v>0</v>
      </c>
      <c r="Q87">
        <v>1</v>
      </c>
      <c r="R87">
        <v>0</v>
      </c>
      <c r="S87">
        <v>0</v>
      </c>
      <c r="T87">
        <v>12</v>
      </c>
      <c r="U87">
        <v>0</v>
      </c>
      <c r="V87">
        <v>12</v>
      </c>
      <c r="W87">
        <v>1</v>
      </c>
      <c r="X87">
        <v>2</v>
      </c>
      <c r="Y87">
        <v>2</v>
      </c>
      <c r="Z87">
        <v>1</v>
      </c>
      <c r="AA87">
        <v>6</v>
      </c>
      <c r="AB87">
        <v>18</v>
      </c>
      <c r="AC87">
        <v>18</v>
      </c>
      <c r="AD87" t="s">
        <v>317</v>
      </c>
    </row>
    <row r="88" spans="1:30" x14ac:dyDescent="0.25">
      <c r="A88">
        <v>87</v>
      </c>
      <c r="B88" t="s">
        <v>247</v>
      </c>
      <c r="C88" t="s">
        <v>379</v>
      </c>
      <c r="D88" t="s">
        <v>18</v>
      </c>
      <c r="E88" t="s">
        <v>73</v>
      </c>
      <c r="F88">
        <v>9</v>
      </c>
      <c r="G88" t="s">
        <v>318</v>
      </c>
      <c r="H88" t="s">
        <v>137</v>
      </c>
      <c r="I88" t="s">
        <v>138</v>
      </c>
      <c r="J88">
        <v>1</v>
      </c>
      <c r="K88" t="s">
        <v>316</v>
      </c>
      <c r="L88">
        <v>1</v>
      </c>
      <c r="M88">
        <v>0</v>
      </c>
      <c r="N88">
        <v>1</v>
      </c>
      <c r="O88">
        <v>3</v>
      </c>
      <c r="P88">
        <v>0</v>
      </c>
      <c r="Q88">
        <v>1</v>
      </c>
      <c r="R88">
        <v>0</v>
      </c>
      <c r="S88">
        <v>0</v>
      </c>
      <c r="T88">
        <v>9</v>
      </c>
      <c r="U88">
        <v>0</v>
      </c>
      <c r="V88">
        <v>9</v>
      </c>
      <c r="W88">
        <v>1</v>
      </c>
      <c r="X88">
        <v>2</v>
      </c>
      <c r="Y88">
        <v>2</v>
      </c>
      <c r="Z88">
        <v>1</v>
      </c>
      <c r="AA88">
        <v>6</v>
      </c>
      <c r="AB88">
        <v>15</v>
      </c>
      <c r="AC88">
        <v>15</v>
      </c>
      <c r="AD88" t="s">
        <v>317</v>
      </c>
    </row>
    <row r="89" spans="1:30" x14ac:dyDescent="0.25">
      <c r="A89">
        <v>88</v>
      </c>
      <c r="B89" t="s">
        <v>248</v>
      </c>
      <c r="C89" t="s">
        <v>380</v>
      </c>
      <c r="D89" t="s">
        <v>18</v>
      </c>
      <c r="E89" t="s">
        <v>38</v>
      </c>
      <c r="F89">
        <v>6</v>
      </c>
      <c r="G89" t="s">
        <v>318</v>
      </c>
      <c r="H89" t="s">
        <v>121</v>
      </c>
      <c r="I89" t="s">
        <v>140</v>
      </c>
      <c r="J89">
        <v>3</v>
      </c>
      <c r="K89" t="s">
        <v>316</v>
      </c>
      <c r="L89">
        <v>0</v>
      </c>
      <c r="M89">
        <v>0</v>
      </c>
      <c r="N89">
        <v>3</v>
      </c>
      <c r="O89">
        <v>1.28</v>
      </c>
      <c r="P89">
        <v>0</v>
      </c>
      <c r="Q89">
        <v>1</v>
      </c>
      <c r="R89">
        <v>11</v>
      </c>
      <c r="S89">
        <v>11</v>
      </c>
      <c r="T89">
        <v>0</v>
      </c>
      <c r="U89">
        <v>0</v>
      </c>
      <c r="V89">
        <v>11</v>
      </c>
      <c r="W89">
        <v>1</v>
      </c>
      <c r="X89">
        <v>2</v>
      </c>
      <c r="Y89">
        <v>2</v>
      </c>
      <c r="Z89">
        <v>1</v>
      </c>
      <c r="AA89">
        <v>6</v>
      </c>
      <c r="AB89">
        <v>17</v>
      </c>
      <c r="AC89">
        <v>17</v>
      </c>
      <c r="AD89" t="s">
        <v>317</v>
      </c>
    </row>
    <row r="90" spans="1:30" x14ac:dyDescent="0.25">
      <c r="A90">
        <v>89</v>
      </c>
      <c r="B90" t="s">
        <v>249</v>
      </c>
      <c r="C90" t="s">
        <v>95</v>
      </c>
      <c r="D90" t="s">
        <v>18</v>
      </c>
      <c r="E90" t="s">
        <v>73</v>
      </c>
      <c r="F90">
        <v>5</v>
      </c>
      <c r="G90" t="s">
        <v>318</v>
      </c>
      <c r="H90" t="s">
        <v>137</v>
      </c>
      <c r="I90" t="s">
        <v>138</v>
      </c>
      <c r="J90">
        <v>1</v>
      </c>
      <c r="K90" t="s">
        <v>316</v>
      </c>
      <c r="L90">
        <v>1</v>
      </c>
      <c r="M90">
        <v>0</v>
      </c>
      <c r="N90">
        <v>1</v>
      </c>
      <c r="O90">
        <v>2</v>
      </c>
      <c r="P90">
        <v>0</v>
      </c>
      <c r="Q90">
        <v>1</v>
      </c>
      <c r="R90">
        <v>0</v>
      </c>
      <c r="S90">
        <v>0</v>
      </c>
      <c r="T90">
        <v>6</v>
      </c>
      <c r="U90">
        <v>0</v>
      </c>
      <c r="V90">
        <v>6</v>
      </c>
      <c r="W90">
        <v>1</v>
      </c>
      <c r="X90">
        <v>2</v>
      </c>
      <c r="Y90">
        <v>2</v>
      </c>
      <c r="Z90">
        <v>1</v>
      </c>
      <c r="AA90">
        <v>6</v>
      </c>
      <c r="AB90">
        <v>12</v>
      </c>
      <c r="AC90">
        <v>12</v>
      </c>
      <c r="AD90" t="s">
        <v>317</v>
      </c>
    </row>
    <row r="91" spans="1:30" x14ac:dyDescent="0.25">
      <c r="A91">
        <v>90</v>
      </c>
      <c r="B91" t="s">
        <v>250</v>
      </c>
      <c r="C91" t="s">
        <v>96</v>
      </c>
      <c r="D91" t="s">
        <v>18</v>
      </c>
      <c r="E91" t="s">
        <v>73</v>
      </c>
      <c r="F91">
        <v>10</v>
      </c>
      <c r="G91" t="s">
        <v>318</v>
      </c>
      <c r="H91" t="s">
        <v>137</v>
      </c>
      <c r="I91" t="s">
        <v>138</v>
      </c>
      <c r="J91">
        <v>1</v>
      </c>
      <c r="K91" t="s">
        <v>316</v>
      </c>
      <c r="L91">
        <v>1</v>
      </c>
      <c r="M91">
        <v>0</v>
      </c>
      <c r="N91">
        <v>1</v>
      </c>
      <c r="O91">
        <v>3</v>
      </c>
      <c r="P91">
        <v>0</v>
      </c>
      <c r="Q91">
        <v>1</v>
      </c>
      <c r="R91">
        <v>0</v>
      </c>
      <c r="S91">
        <v>0</v>
      </c>
      <c r="T91">
        <v>9</v>
      </c>
      <c r="U91">
        <v>0</v>
      </c>
      <c r="V91">
        <v>9</v>
      </c>
      <c r="W91">
        <v>1</v>
      </c>
      <c r="X91">
        <v>2</v>
      </c>
      <c r="Y91">
        <v>2</v>
      </c>
      <c r="Z91">
        <v>1</v>
      </c>
      <c r="AA91">
        <v>6</v>
      </c>
      <c r="AB91">
        <v>15</v>
      </c>
      <c r="AC91">
        <v>15</v>
      </c>
      <c r="AD91" t="s">
        <v>317</v>
      </c>
    </row>
    <row r="92" spans="1:30" x14ac:dyDescent="0.25">
      <c r="A92">
        <v>91</v>
      </c>
      <c r="B92" t="s">
        <v>251</v>
      </c>
      <c r="C92" t="s">
        <v>97</v>
      </c>
      <c r="D92" t="s">
        <v>18</v>
      </c>
      <c r="E92" t="s">
        <v>73</v>
      </c>
      <c r="F92">
        <v>1</v>
      </c>
      <c r="G92" t="s">
        <v>323</v>
      </c>
      <c r="H92" t="s">
        <v>137</v>
      </c>
      <c r="I92" t="s">
        <v>138</v>
      </c>
      <c r="J92">
        <v>1</v>
      </c>
      <c r="K92" t="s">
        <v>316</v>
      </c>
      <c r="L92">
        <v>1</v>
      </c>
      <c r="M92">
        <v>0</v>
      </c>
      <c r="N92">
        <v>1</v>
      </c>
      <c r="O92">
        <v>3</v>
      </c>
      <c r="P92">
        <v>1</v>
      </c>
      <c r="Q92">
        <v>0</v>
      </c>
      <c r="R92">
        <v>0</v>
      </c>
      <c r="S92">
        <v>0</v>
      </c>
      <c r="T92">
        <v>9</v>
      </c>
      <c r="U92">
        <v>0</v>
      </c>
      <c r="V92">
        <v>9</v>
      </c>
      <c r="W92">
        <v>1</v>
      </c>
      <c r="X92">
        <v>6</v>
      </c>
      <c r="Y92">
        <v>2</v>
      </c>
      <c r="Z92">
        <v>1</v>
      </c>
      <c r="AA92">
        <v>9</v>
      </c>
      <c r="AB92">
        <v>19</v>
      </c>
      <c r="AC92">
        <v>19</v>
      </c>
      <c r="AD92" t="s">
        <v>317</v>
      </c>
    </row>
    <row r="93" spans="1:30" x14ac:dyDescent="0.25">
      <c r="A93">
        <v>92</v>
      </c>
      <c r="B93" t="s">
        <v>252</v>
      </c>
      <c r="C93" t="s">
        <v>98</v>
      </c>
      <c r="D93" t="s">
        <v>18</v>
      </c>
      <c r="E93" t="s">
        <v>73</v>
      </c>
      <c r="F93">
        <v>1</v>
      </c>
      <c r="G93" t="s">
        <v>323</v>
      </c>
      <c r="H93" t="s">
        <v>121</v>
      </c>
      <c r="I93" t="s">
        <v>142</v>
      </c>
      <c r="J93">
        <v>1</v>
      </c>
      <c r="K93" t="s">
        <v>316</v>
      </c>
      <c r="L93">
        <v>1</v>
      </c>
      <c r="M93">
        <v>1</v>
      </c>
      <c r="N93">
        <v>0</v>
      </c>
      <c r="O93">
        <v>2</v>
      </c>
      <c r="P93">
        <v>1</v>
      </c>
      <c r="Q93">
        <v>0</v>
      </c>
      <c r="R93">
        <v>10</v>
      </c>
      <c r="S93">
        <v>10</v>
      </c>
      <c r="T93">
        <v>4</v>
      </c>
      <c r="U93">
        <v>0</v>
      </c>
      <c r="V93">
        <v>14</v>
      </c>
      <c r="W93">
        <v>1</v>
      </c>
      <c r="X93">
        <v>2</v>
      </c>
      <c r="Y93">
        <v>2</v>
      </c>
      <c r="Z93">
        <v>1</v>
      </c>
      <c r="AA93">
        <v>6</v>
      </c>
      <c r="AB93">
        <v>20</v>
      </c>
      <c r="AC93">
        <v>20</v>
      </c>
      <c r="AD93" t="s">
        <v>317</v>
      </c>
    </row>
    <row r="94" spans="1:30" x14ac:dyDescent="0.25">
      <c r="A94">
        <v>93</v>
      </c>
      <c r="B94" t="s">
        <v>253</v>
      </c>
      <c r="C94" t="s">
        <v>99</v>
      </c>
      <c r="D94" t="s">
        <v>18</v>
      </c>
      <c r="E94" t="s">
        <v>73</v>
      </c>
      <c r="F94">
        <v>1</v>
      </c>
      <c r="G94" t="s">
        <v>323</v>
      </c>
      <c r="H94" t="s">
        <v>137</v>
      </c>
      <c r="I94" t="s">
        <v>138</v>
      </c>
      <c r="J94">
        <v>1</v>
      </c>
      <c r="K94" t="s">
        <v>316</v>
      </c>
      <c r="L94">
        <v>1</v>
      </c>
      <c r="M94">
        <v>0</v>
      </c>
      <c r="N94">
        <v>1</v>
      </c>
      <c r="O94">
        <v>2</v>
      </c>
      <c r="P94">
        <v>1</v>
      </c>
      <c r="Q94">
        <v>0</v>
      </c>
      <c r="R94">
        <v>0</v>
      </c>
      <c r="S94">
        <v>0</v>
      </c>
      <c r="T94">
        <v>6</v>
      </c>
      <c r="U94">
        <v>0</v>
      </c>
      <c r="V94">
        <v>6</v>
      </c>
      <c r="W94">
        <v>1</v>
      </c>
      <c r="X94">
        <v>2</v>
      </c>
      <c r="Y94">
        <v>2</v>
      </c>
      <c r="Z94">
        <v>1</v>
      </c>
      <c r="AA94">
        <v>6</v>
      </c>
      <c r="AB94">
        <v>12</v>
      </c>
      <c r="AC94">
        <v>12</v>
      </c>
      <c r="AD94" t="s">
        <v>317</v>
      </c>
    </row>
    <row r="95" spans="1:30" x14ac:dyDescent="0.25">
      <c r="A95">
        <v>94</v>
      </c>
      <c r="B95" t="s">
        <v>254</v>
      </c>
      <c r="C95" t="s">
        <v>100</v>
      </c>
      <c r="D95" t="s">
        <v>15</v>
      </c>
      <c r="E95" t="s">
        <v>114</v>
      </c>
      <c r="F95">
        <v>19</v>
      </c>
      <c r="G95" t="s">
        <v>315</v>
      </c>
      <c r="H95" t="s">
        <v>137</v>
      </c>
      <c r="I95" t="s">
        <v>138</v>
      </c>
      <c r="J95">
        <v>2</v>
      </c>
      <c r="K95" t="s">
        <v>316</v>
      </c>
      <c r="L95">
        <v>1</v>
      </c>
      <c r="M95">
        <v>0</v>
      </c>
      <c r="N95">
        <v>2</v>
      </c>
      <c r="O95">
        <v>2</v>
      </c>
      <c r="P95">
        <v>0</v>
      </c>
      <c r="Q95">
        <v>1</v>
      </c>
      <c r="R95">
        <v>8</v>
      </c>
      <c r="S95">
        <v>8</v>
      </c>
      <c r="T95">
        <v>6</v>
      </c>
      <c r="U95">
        <v>2</v>
      </c>
      <c r="V95">
        <v>16</v>
      </c>
      <c r="W95">
        <v>3</v>
      </c>
      <c r="X95">
        <v>3</v>
      </c>
      <c r="Y95">
        <v>2</v>
      </c>
      <c r="Z95">
        <v>1</v>
      </c>
      <c r="AA95">
        <v>6</v>
      </c>
      <c r="AB95">
        <v>25</v>
      </c>
      <c r="AC95">
        <v>25</v>
      </c>
      <c r="AD95" t="s">
        <v>317</v>
      </c>
    </row>
    <row r="96" spans="1:30" x14ac:dyDescent="0.25">
      <c r="A96">
        <v>95</v>
      </c>
      <c r="B96" t="s">
        <v>255</v>
      </c>
      <c r="C96" t="s">
        <v>101</v>
      </c>
      <c r="D96" t="s">
        <v>18</v>
      </c>
      <c r="E96" t="s">
        <v>114</v>
      </c>
      <c r="F96">
        <v>5</v>
      </c>
      <c r="G96" t="s">
        <v>318</v>
      </c>
      <c r="H96" t="s">
        <v>133</v>
      </c>
      <c r="I96" t="s">
        <v>135</v>
      </c>
      <c r="J96">
        <v>2</v>
      </c>
      <c r="K96" t="s">
        <v>316</v>
      </c>
      <c r="L96">
        <v>0</v>
      </c>
      <c r="M96">
        <v>0</v>
      </c>
      <c r="N96">
        <v>1</v>
      </c>
      <c r="O96">
        <v>0.83</v>
      </c>
      <c r="P96">
        <v>0</v>
      </c>
      <c r="Q96">
        <v>1</v>
      </c>
      <c r="R96">
        <v>5</v>
      </c>
      <c r="S96">
        <v>5</v>
      </c>
      <c r="T96">
        <v>3</v>
      </c>
      <c r="U96">
        <v>0</v>
      </c>
      <c r="V96">
        <v>8</v>
      </c>
      <c r="W96">
        <v>1</v>
      </c>
      <c r="X96">
        <v>2</v>
      </c>
      <c r="Y96">
        <v>2</v>
      </c>
      <c r="Z96">
        <v>1</v>
      </c>
      <c r="AA96">
        <v>6</v>
      </c>
      <c r="AB96">
        <v>14</v>
      </c>
      <c r="AC96">
        <v>14</v>
      </c>
      <c r="AD96" t="s">
        <v>317</v>
      </c>
    </row>
    <row r="97" spans="1:30" x14ac:dyDescent="0.25">
      <c r="A97">
        <v>96</v>
      </c>
      <c r="B97" t="s">
        <v>256</v>
      </c>
      <c r="C97" t="s">
        <v>102</v>
      </c>
      <c r="D97" t="s">
        <v>18</v>
      </c>
      <c r="E97" t="s">
        <v>73</v>
      </c>
      <c r="F97">
        <v>5</v>
      </c>
      <c r="G97" t="s">
        <v>318</v>
      </c>
      <c r="H97" t="s">
        <v>137</v>
      </c>
      <c r="I97" t="s">
        <v>138</v>
      </c>
      <c r="J97">
        <v>1</v>
      </c>
      <c r="K97" t="s">
        <v>316</v>
      </c>
      <c r="L97">
        <v>1</v>
      </c>
      <c r="M97">
        <v>0</v>
      </c>
      <c r="N97">
        <v>1</v>
      </c>
      <c r="O97">
        <v>2</v>
      </c>
      <c r="P97">
        <v>0</v>
      </c>
      <c r="Q97">
        <v>1</v>
      </c>
      <c r="R97">
        <v>0</v>
      </c>
      <c r="S97">
        <v>0</v>
      </c>
      <c r="T97">
        <v>12</v>
      </c>
      <c r="U97">
        <v>0</v>
      </c>
      <c r="V97">
        <v>12</v>
      </c>
      <c r="W97">
        <v>1</v>
      </c>
      <c r="X97">
        <v>1</v>
      </c>
      <c r="Y97">
        <v>2</v>
      </c>
      <c r="Z97">
        <v>1</v>
      </c>
      <c r="AA97">
        <v>4</v>
      </c>
      <c r="AB97">
        <v>17</v>
      </c>
      <c r="AC97">
        <v>17</v>
      </c>
      <c r="AD97" t="s">
        <v>317</v>
      </c>
    </row>
    <row r="98" spans="1:30" x14ac:dyDescent="0.25">
      <c r="A98">
        <v>97</v>
      </c>
      <c r="B98" t="s">
        <v>257</v>
      </c>
      <c r="C98" t="s">
        <v>103</v>
      </c>
      <c r="D98" t="s">
        <v>18</v>
      </c>
      <c r="E98" t="s">
        <v>73</v>
      </c>
      <c r="F98">
        <v>2</v>
      </c>
      <c r="G98" t="s">
        <v>323</v>
      </c>
      <c r="H98" t="s">
        <v>137</v>
      </c>
      <c r="I98" t="s">
        <v>138</v>
      </c>
      <c r="J98">
        <v>1</v>
      </c>
      <c r="K98" t="s">
        <v>316</v>
      </c>
      <c r="L98">
        <v>1</v>
      </c>
      <c r="M98">
        <v>0</v>
      </c>
      <c r="N98">
        <v>1</v>
      </c>
      <c r="O98">
        <v>2</v>
      </c>
      <c r="P98">
        <v>0</v>
      </c>
      <c r="Q98">
        <v>1</v>
      </c>
      <c r="R98">
        <v>0</v>
      </c>
      <c r="S98">
        <v>0</v>
      </c>
      <c r="T98">
        <v>6</v>
      </c>
      <c r="U98">
        <v>0</v>
      </c>
      <c r="V98">
        <v>6</v>
      </c>
      <c r="W98">
        <v>1</v>
      </c>
      <c r="X98">
        <v>2</v>
      </c>
      <c r="Y98">
        <v>2</v>
      </c>
      <c r="Z98">
        <v>1</v>
      </c>
      <c r="AA98">
        <v>6</v>
      </c>
      <c r="AB98">
        <v>12</v>
      </c>
      <c r="AC98">
        <v>12</v>
      </c>
      <c r="AD98" t="s">
        <v>317</v>
      </c>
    </row>
    <row r="99" spans="1:30" x14ac:dyDescent="0.25">
      <c r="A99">
        <v>98</v>
      </c>
      <c r="B99" t="s">
        <v>258</v>
      </c>
      <c r="C99" t="s">
        <v>104</v>
      </c>
      <c r="D99" t="s">
        <v>18</v>
      </c>
      <c r="E99" t="s">
        <v>73</v>
      </c>
      <c r="F99">
        <v>5</v>
      </c>
      <c r="G99" t="s">
        <v>318</v>
      </c>
      <c r="H99" t="s">
        <v>133</v>
      </c>
      <c r="I99" t="s">
        <v>141</v>
      </c>
      <c r="J99">
        <v>2</v>
      </c>
      <c r="K99" t="s">
        <v>316</v>
      </c>
      <c r="L99">
        <v>0</v>
      </c>
      <c r="M99">
        <v>0</v>
      </c>
      <c r="N99">
        <v>2</v>
      </c>
      <c r="O99">
        <v>2</v>
      </c>
      <c r="P99">
        <v>0</v>
      </c>
      <c r="Q99">
        <v>1</v>
      </c>
      <c r="R99">
        <v>5</v>
      </c>
      <c r="S99">
        <v>5</v>
      </c>
      <c r="T99">
        <v>3</v>
      </c>
      <c r="U99">
        <v>0</v>
      </c>
      <c r="V99">
        <v>8</v>
      </c>
      <c r="W99">
        <v>1</v>
      </c>
      <c r="X99">
        <v>1</v>
      </c>
      <c r="Y99">
        <v>2</v>
      </c>
      <c r="Z99">
        <v>1</v>
      </c>
      <c r="AA99">
        <v>4</v>
      </c>
      <c r="AB99">
        <v>13</v>
      </c>
      <c r="AC99">
        <v>13</v>
      </c>
      <c r="AD99" t="s">
        <v>317</v>
      </c>
    </row>
    <row r="100" spans="1:30" x14ac:dyDescent="0.25">
      <c r="A100">
        <v>99</v>
      </c>
      <c r="B100" t="s">
        <v>259</v>
      </c>
      <c r="C100" t="s">
        <v>105</v>
      </c>
      <c r="D100" t="s">
        <v>18</v>
      </c>
      <c r="E100" t="s">
        <v>73</v>
      </c>
      <c r="F100">
        <v>3</v>
      </c>
      <c r="G100" t="s">
        <v>323</v>
      </c>
      <c r="H100" t="s">
        <v>137</v>
      </c>
      <c r="I100" t="s">
        <v>138</v>
      </c>
      <c r="J100">
        <v>1</v>
      </c>
      <c r="K100" t="s">
        <v>316</v>
      </c>
      <c r="L100">
        <v>0</v>
      </c>
      <c r="M100">
        <v>0</v>
      </c>
      <c r="N100">
        <v>1</v>
      </c>
      <c r="O100">
        <v>1</v>
      </c>
      <c r="P100">
        <v>1</v>
      </c>
      <c r="Q100">
        <v>0</v>
      </c>
      <c r="R100">
        <v>0</v>
      </c>
      <c r="S100">
        <v>0</v>
      </c>
      <c r="T100">
        <v>6</v>
      </c>
      <c r="U100">
        <v>0</v>
      </c>
      <c r="V100">
        <v>6</v>
      </c>
      <c r="W100">
        <v>1</v>
      </c>
      <c r="X100">
        <v>1</v>
      </c>
      <c r="Y100">
        <v>2</v>
      </c>
      <c r="Z100">
        <v>1</v>
      </c>
      <c r="AA100">
        <v>4</v>
      </c>
      <c r="AB100">
        <v>11</v>
      </c>
      <c r="AC100">
        <v>11</v>
      </c>
      <c r="AD100" t="s">
        <v>317</v>
      </c>
    </row>
    <row r="101" spans="1:30" x14ac:dyDescent="0.25">
      <c r="A101">
        <v>100</v>
      </c>
      <c r="B101" t="s">
        <v>260</v>
      </c>
      <c r="C101" t="s">
        <v>106</v>
      </c>
      <c r="D101" t="s">
        <v>18</v>
      </c>
      <c r="E101" t="s">
        <v>73</v>
      </c>
      <c r="F101">
        <v>6</v>
      </c>
      <c r="G101" t="s">
        <v>318</v>
      </c>
      <c r="H101" t="s">
        <v>137</v>
      </c>
      <c r="I101" t="s">
        <v>138</v>
      </c>
      <c r="J101">
        <v>2</v>
      </c>
      <c r="K101" t="s">
        <v>316</v>
      </c>
      <c r="L101">
        <v>0</v>
      </c>
      <c r="M101">
        <v>0</v>
      </c>
      <c r="N101">
        <v>1</v>
      </c>
      <c r="O101">
        <v>1</v>
      </c>
      <c r="P101">
        <v>0</v>
      </c>
      <c r="Q101">
        <v>1</v>
      </c>
      <c r="R101">
        <v>4</v>
      </c>
      <c r="S101">
        <v>4</v>
      </c>
      <c r="T101">
        <v>3</v>
      </c>
      <c r="U101">
        <v>1</v>
      </c>
      <c r="V101">
        <v>8</v>
      </c>
      <c r="W101">
        <v>1</v>
      </c>
      <c r="X101">
        <v>2</v>
      </c>
      <c r="Y101">
        <v>2</v>
      </c>
      <c r="Z101">
        <v>1</v>
      </c>
      <c r="AA101">
        <v>6</v>
      </c>
      <c r="AB101">
        <v>14</v>
      </c>
      <c r="AC101">
        <v>14</v>
      </c>
      <c r="AD101" t="s">
        <v>317</v>
      </c>
    </row>
    <row r="102" spans="1:30" x14ac:dyDescent="0.25">
      <c r="A102">
        <v>101</v>
      </c>
      <c r="B102" t="s">
        <v>261</v>
      </c>
      <c r="C102" t="s">
        <v>282</v>
      </c>
      <c r="D102" t="s">
        <v>310</v>
      </c>
      <c r="E102" t="s">
        <v>37</v>
      </c>
      <c r="F102">
        <v>21</v>
      </c>
      <c r="G102" t="s">
        <v>315</v>
      </c>
      <c r="H102" t="s">
        <v>137</v>
      </c>
      <c r="I102" t="s">
        <v>138</v>
      </c>
      <c r="J102">
        <v>0</v>
      </c>
      <c r="K102" t="s">
        <v>316</v>
      </c>
      <c r="L102">
        <v>0</v>
      </c>
      <c r="M102">
        <v>0</v>
      </c>
      <c r="N102">
        <v>0</v>
      </c>
      <c r="O102">
        <v>1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11</v>
      </c>
      <c r="W102">
        <v>5</v>
      </c>
      <c r="X102">
        <v>5</v>
      </c>
      <c r="Y102">
        <v>8</v>
      </c>
      <c r="Z102">
        <v>6</v>
      </c>
      <c r="AA102">
        <v>19</v>
      </c>
      <c r="AB102">
        <v>24</v>
      </c>
      <c r="AC102">
        <v>24</v>
      </c>
      <c r="AD102" t="s">
        <v>317</v>
      </c>
    </row>
    <row r="103" spans="1:30" x14ac:dyDescent="0.25">
      <c r="A103">
        <v>102</v>
      </c>
      <c r="B103" t="s">
        <v>262</v>
      </c>
      <c r="C103" t="s">
        <v>107</v>
      </c>
      <c r="D103" t="s">
        <v>18</v>
      </c>
      <c r="E103" t="s">
        <v>73</v>
      </c>
      <c r="F103">
        <v>5</v>
      </c>
      <c r="G103" t="s">
        <v>318</v>
      </c>
      <c r="H103" t="s">
        <v>121</v>
      </c>
      <c r="I103" t="s">
        <v>142</v>
      </c>
      <c r="J103">
        <v>1</v>
      </c>
      <c r="K103" t="s">
        <v>316</v>
      </c>
      <c r="L103">
        <v>1</v>
      </c>
      <c r="M103">
        <v>1</v>
      </c>
      <c r="N103">
        <v>0</v>
      </c>
      <c r="O103">
        <v>2</v>
      </c>
      <c r="P103">
        <v>0</v>
      </c>
      <c r="Q103">
        <v>1</v>
      </c>
      <c r="R103">
        <v>10</v>
      </c>
      <c r="S103">
        <v>10</v>
      </c>
      <c r="T103">
        <v>4</v>
      </c>
      <c r="U103">
        <v>0</v>
      </c>
      <c r="V103">
        <v>14</v>
      </c>
      <c r="W103">
        <v>1</v>
      </c>
      <c r="X103">
        <v>2</v>
      </c>
      <c r="Y103">
        <v>2</v>
      </c>
      <c r="Z103">
        <v>1</v>
      </c>
      <c r="AA103">
        <v>6</v>
      </c>
      <c r="AB103">
        <v>20</v>
      </c>
      <c r="AC103">
        <v>20</v>
      </c>
      <c r="AD103" t="s">
        <v>317</v>
      </c>
    </row>
    <row r="104" spans="1:30" x14ac:dyDescent="0.25">
      <c r="A104">
        <v>103</v>
      </c>
      <c r="B104" t="s">
        <v>263</v>
      </c>
      <c r="C104" t="s">
        <v>108</v>
      </c>
      <c r="D104" t="s">
        <v>18</v>
      </c>
      <c r="E104" t="s">
        <v>73</v>
      </c>
      <c r="F104">
        <v>1</v>
      </c>
      <c r="G104" t="s">
        <v>323</v>
      </c>
      <c r="H104" t="s">
        <v>137</v>
      </c>
      <c r="I104" t="s">
        <v>138</v>
      </c>
      <c r="J104">
        <v>2</v>
      </c>
      <c r="K104" t="s">
        <v>316</v>
      </c>
      <c r="L104">
        <v>0</v>
      </c>
      <c r="M104">
        <v>0</v>
      </c>
      <c r="N104">
        <v>1</v>
      </c>
      <c r="O104">
        <v>1</v>
      </c>
      <c r="P104">
        <v>1</v>
      </c>
      <c r="Q104">
        <v>0</v>
      </c>
      <c r="R104">
        <v>4</v>
      </c>
      <c r="S104">
        <v>4</v>
      </c>
      <c r="T104">
        <v>3</v>
      </c>
      <c r="U104">
        <v>1</v>
      </c>
      <c r="V104">
        <v>8</v>
      </c>
      <c r="W104">
        <v>1</v>
      </c>
      <c r="X104">
        <v>2</v>
      </c>
      <c r="Y104">
        <v>2</v>
      </c>
      <c r="Z104">
        <v>1</v>
      </c>
      <c r="AA104">
        <v>6</v>
      </c>
      <c r="AB104">
        <v>14</v>
      </c>
      <c r="AC104">
        <v>14</v>
      </c>
      <c r="AD104" t="s">
        <v>317</v>
      </c>
    </row>
    <row r="105" spans="1:30" x14ac:dyDescent="0.25">
      <c r="A105">
        <v>104</v>
      </c>
      <c r="B105" t="s">
        <v>264</v>
      </c>
      <c r="C105" t="s">
        <v>109</v>
      </c>
      <c r="D105" t="s">
        <v>18</v>
      </c>
      <c r="E105" t="s">
        <v>73</v>
      </c>
      <c r="F105">
        <v>1</v>
      </c>
      <c r="G105" t="s">
        <v>323</v>
      </c>
      <c r="H105" t="s">
        <v>137</v>
      </c>
      <c r="I105" t="s">
        <v>138</v>
      </c>
      <c r="J105">
        <v>1</v>
      </c>
      <c r="K105" t="s">
        <v>316</v>
      </c>
      <c r="L105">
        <v>1</v>
      </c>
      <c r="M105">
        <v>0</v>
      </c>
      <c r="N105">
        <v>1</v>
      </c>
      <c r="O105">
        <v>3</v>
      </c>
      <c r="P105">
        <v>0</v>
      </c>
      <c r="Q105">
        <v>1</v>
      </c>
      <c r="R105">
        <v>0</v>
      </c>
      <c r="S105">
        <v>9</v>
      </c>
      <c r="T105">
        <v>0</v>
      </c>
      <c r="U105">
        <v>0</v>
      </c>
      <c r="V105">
        <v>9</v>
      </c>
      <c r="W105">
        <v>1</v>
      </c>
      <c r="X105">
        <v>1</v>
      </c>
      <c r="Y105">
        <v>2</v>
      </c>
      <c r="Z105">
        <v>1</v>
      </c>
      <c r="AA105">
        <v>4</v>
      </c>
      <c r="AB105">
        <v>14</v>
      </c>
      <c r="AC105">
        <v>14</v>
      </c>
      <c r="AD105" t="s">
        <v>317</v>
      </c>
    </row>
    <row r="106" spans="1:30" x14ac:dyDescent="0.25">
      <c r="A106">
        <v>105</v>
      </c>
      <c r="B106" t="s">
        <v>265</v>
      </c>
      <c r="C106" t="s">
        <v>110</v>
      </c>
      <c r="D106" t="s">
        <v>18</v>
      </c>
      <c r="E106" t="s">
        <v>73</v>
      </c>
      <c r="F106">
        <v>4</v>
      </c>
      <c r="G106" t="s">
        <v>323</v>
      </c>
      <c r="H106" t="s">
        <v>137</v>
      </c>
      <c r="I106" t="s">
        <v>143</v>
      </c>
      <c r="J106">
        <v>1</v>
      </c>
      <c r="K106" t="s">
        <v>316</v>
      </c>
      <c r="L106">
        <v>1</v>
      </c>
      <c r="M106">
        <v>0</v>
      </c>
      <c r="N106">
        <v>1</v>
      </c>
      <c r="O106">
        <v>2</v>
      </c>
      <c r="P106">
        <v>0</v>
      </c>
      <c r="Q106">
        <v>1</v>
      </c>
      <c r="R106">
        <v>0</v>
      </c>
      <c r="S106">
        <v>0</v>
      </c>
      <c r="T106">
        <v>6</v>
      </c>
      <c r="U106">
        <v>0</v>
      </c>
      <c r="V106">
        <v>6</v>
      </c>
      <c r="W106">
        <v>1</v>
      </c>
      <c r="X106">
        <v>2</v>
      </c>
      <c r="Y106">
        <v>2</v>
      </c>
      <c r="Z106">
        <v>1</v>
      </c>
      <c r="AA106">
        <v>6</v>
      </c>
      <c r="AB106">
        <v>12</v>
      </c>
      <c r="AC106">
        <v>12</v>
      </c>
      <c r="AD106" t="s">
        <v>317</v>
      </c>
    </row>
    <row r="107" spans="1:30" x14ac:dyDescent="0.25">
      <c r="A107">
        <v>106</v>
      </c>
      <c r="B107" t="s">
        <v>266</v>
      </c>
      <c r="C107" t="s">
        <v>111</v>
      </c>
      <c r="D107" t="s">
        <v>18</v>
      </c>
      <c r="E107" t="s">
        <v>73</v>
      </c>
      <c r="F107">
        <v>2</v>
      </c>
      <c r="G107" t="s">
        <v>323</v>
      </c>
      <c r="H107" t="s">
        <v>133</v>
      </c>
      <c r="I107" t="s">
        <v>135</v>
      </c>
      <c r="J107">
        <v>1</v>
      </c>
      <c r="K107" t="s">
        <v>316</v>
      </c>
      <c r="L107">
        <v>0</v>
      </c>
      <c r="M107">
        <v>0</v>
      </c>
      <c r="N107">
        <v>1</v>
      </c>
      <c r="O107">
        <v>0.38</v>
      </c>
      <c r="P107">
        <v>1</v>
      </c>
      <c r="Q107">
        <v>0</v>
      </c>
      <c r="R107">
        <v>5</v>
      </c>
      <c r="S107">
        <v>5</v>
      </c>
      <c r="T107">
        <v>0</v>
      </c>
      <c r="U107">
        <v>0</v>
      </c>
      <c r="V107">
        <v>5</v>
      </c>
      <c r="W107">
        <v>1</v>
      </c>
      <c r="X107">
        <v>1</v>
      </c>
      <c r="Y107">
        <v>2</v>
      </c>
      <c r="Z107">
        <v>1</v>
      </c>
      <c r="AA107">
        <v>4</v>
      </c>
      <c r="AB107">
        <v>10</v>
      </c>
      <c r="AC107">
        <v>10</v>
      </c>
      <c r="AD107" t="s">
        <v>317</v>
      </c>
    </row>
    <row r="108" spans="1:30" x14ac:dyDescent="0.25">
      <c r="A108">
        <v>107</v>
      </c>
      <c r="B108" t="s">
        <v>267</v>
      </c>
      <c r="C108" t="s">
        <v>281</v>
      </c>
      <c r="D108" t="s">
        <v>15</v>
      </c>
      <c r="E108" t="s">
        <v>37</v>
      </c>
      <c r="F108">
        <v>16</v>
      </c>
      <c r="G108" t="s">
        <v>315</v>
      </c>
      <c r="H108" t="s">
        <v>133</v>
      </c>
      <c r="I108" t="s">
        <v>135</v>
      </c>
      <c r="J108">
        <v>1</v>
      </c>
      <c r="K108" t="s">
        <v>316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1</v>
      </c>
      <c r="R108">
        <v>5</v>
      </c>
      <c r="S108">
        <v>5</v>
      </c>
      <c r="T108">
        <v>0</v>
      </c>
      <c r="U108">
        <v>0</v>
      </c>
      <c r="V108">
        <v>5</v>
      </c>
      <c r="W108">
        <v>1</v>
      </c>
      <c r="X108">
        <v>8</v>
      </c>
      <c r="Y108">
        <v>6</v>
      </c>
      <c r="Z108">
        <v>1</v>
      </c>
      <c r="AA108">
        <v>15</v>
      </c>
      <c r="AB108">
        <v>21</v>
      </c>
      <c r="AC108">
        <v>21</v>
      </c>
      <c r="AD108" t="s">
        <v>317</v>
      </c>
    </row>
    <row r="109" spans="1:30" x14ac:dyDescent="0.25">
      <c r="A109">
        <v>108</v>
      </c>
      <c r="B109" t="s">
        <v>268</v>
      </c>
      <c r="C109" t="s">
        <v>112</v>
      </c>
      <c r="D109" t="s">
        <v>18</v>
      </c>
      <c r="E109" t="s">
        <v>73</v>
      </c>
      <c r="F109">
        <v>4</v>
      </c>
      <c r="G109" t="s">
        <v>323</v>
      </c>
      <c r="H109" t="s">
        <v>133</v>
      </c>
      <c r="I109" t="s">
        <v>135</v>
      </c>
      <c r="J109">
        <v>2</v>
      </c>
      <c r="K109" t="s">
        <v>316</v>
      </c>
      <c r="L109">
        <v>0</v>
      </c>
      <c r="M109">
        <v>0</v>
      </c>
      <c r="N109">
        <v>2</v>
      </c>
      <c r="O109">
        <v>1.38</v>
      </c>
      <c r="P109">
        <v>1</v>
      </c>
      <c r="Q109">
        <v>0</v>
      </c>
      <c r="R109">
        <v>0</v>
      </c>
      <c r="S109">
        <v>0</v>
      </c>
      <c r="T109">
        <v>6</v>
      </c>
      <c r="U109">
        <v>0</v>
      </c>
      <c r="V109">
        <v>6</v>
      </c>
      <c r="W109">
        <v>1</v>
      </c>
      <c r="X109">
        <v>1</v>
      </c>
      <c r="Y109">
        <v>2</v>
      </c>
      <c r="Z109">
        <v>1</v>
      </c>
      <c r="AA109">
        <v>4</v>
      </c>
      <c r="AB109">
        <v>11</v>
      </c>
      <c r="AC109">
        <v>11</v>
      </c>
      <c r="AD109" t="s">
        <v>317</v>
      </c>
    </row>
    <row r="110" spans="1:30" x14ac:dyDescent="0.25">
      <c r="A110">
        <v>109</v>
      </c>
      <c r="B110" t="s">
        <v>269</v>
      </c>
      <c r="C110" t="s">
        <v>113</v>
      </c>
      <c r="D110" t="s">
        <v>18</v>
      </c>
      <c r="E110" t="s">
        <v>73</v>
      </c>
      <c r="F110">
        <v>2</v>
      </c>
      <c r="G110" t="s">
        <v>323</v>
      </c>
      <c r="H110" t="s">
        <v>137</v>
      </c>
      <c r="I110" t="s">
        <v>138</v>
      </c>
      <c r="J110">
        <v>1</v>
      </c>
      <c r="K110" t="s">
        <v>316</v>
      </c>
      <c r="L110">
        <v>1</v>
      </c>
      <c r="M110">
        <v>0</v>
      </c>
      <c r="N110">
        <v>1</v>
      </c>
      <c r="O110">
        <v>2</v>
      </c>
      <c r="P110">
        <v>0</v>
      </c>
      <c r="Q110">
        <v>1</v>
      </c>
      <c r="R110">
        <v>0</v>
      </c>
      <c r="S110">
        <v>0</v>
      </c>
      <c r="T110">
        <v>6</v>
      </c>
      <c r="U110">
        <v>0</v>
      </c>
      <c r="V110">
        <v>6</v>
      </c>
      <c r="W110">
        <v>1</v>
      </c>
      <c r="X110">
        <v>1</v>
      </c>
      <c r="Y110">
        <v>2</v>
      </c>
      <c r="Z110">
        <v>1</v>
      </c>
      <c r="AA110">
        <v>4</v>
      </c>
      <c r="AB110">
        <v>11</v>
      </c>
      <c r="AC110">
        <v>11</v>
      </c>
      <c r="AD110" t="s">
        <v>317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C2F0-6BB9-471B-B9F3-0BB5A8042161}">
  <dimension ref="A1:AQ110"/>
  <sheetViews>
    <sheetView tabSelected="1" topLeftCell="W1" workbookViewId="0">
      <selection activeCell="AD3" sqref="AD3"/>
    </sheetView>
  </sheetViews>
  <sheetFormatPr defaultRowHeight="15" x14ac:dyDescent="0.25"/>
  <cols>
    <col min="2" max="2" width="11.7109375" customWidth="1"/>
    <col min="3" max="3" width="30.28515625" bestFit="1" customWidth="1"/>
    <col min="4" max="4" width="13.7109375" style="19" customWidth="1"/>
    <col min="5" max="5" width="14.5703125" customWidth="1"/>
    <col min="6" max="6" width="21.42578125" style="41" customWidth="1"/>
    <col min="7" max="7" width="21.42578125" style="62" customWidth="1"/>
    <col min="8" max="8" width="21.140625" bestFit="1" customWidth="1"/>
    <col min="9" max="9" width="17.28515625" bestFit="1" customWidth="1"/>
    <col min="10" max="10" width="23.7109375" customWidth="1"/>
    <col min="11" max="11" width="23.7109375" style="68" customWidth="1"/>
    <col min="12" max="12" width="31.85546875" customWidth="1"/>
    <col min="13" max="13" width="20.85546875" customWidth="1"/>
    <col min="14" max="14" width="23.7109375" customWidth="1"/>
    <col min="15" max="15" width="12.140625" customWidth="1"/>
    <col min="16" max="16" width="14.7109375" customWidth="1"/>
    <col min="17" max="17" width="16.85546875" customWidth="1"/>
    <col min="18" max="18" width="18.28515625" customWidth="1"/>
    <col min="19" max="19" width="30.7109375" customWidth="1"/>
    <col min="20" max="20" width="11.7109375" customWidth="1"/>
    <col min="21" max="21" width="18.42578125" customWidth="1"/>
    <col min="22" max="22" width="27.140625" style="61" customWidth="1"/>
    <col min="23" max="23" width="22.42578125" style="41" customWidth="1"/>
    <col min="24" max="24" width="29.7109375" style="47" customWidth="1"/>
    <col min="25" max="25" width="33.28515625" style="41" customWidth="1"/>
    <col min="26" max="26" width="20.5703125" style="41" customWidth="1"/>
    <col min="27" max="27" width="19.85546875" style="44" customWidth="1"/>
    <col min="28" max="29" width="19.7109375" style="52" customWidth="1"/>
  </cols>
  <sheetData>
    <row r="1" spans="1:30" s="8" customFormat="1" x14ac:dyDescent="0.25">
      <c r="A1" s="22" t="s">
        <v>119</v>
      </c>
      <c r="B1" s="23" t="s">
        <v>287</v>
      </c>
      <c r="C1" s="53" t="s">
        <v>288</v>
      </c>
      <c r="D1" s="54" t="s">
        <v>1</v>
      </c>
      <c r="E1" s="53" t="s">
        <v>4</v>
      </c>
      <c r="F1" s="36" t="s">
        <v>289</v>
      </c>
      <c r="G1" s="70" t="s">
        <v>312</v>
      </c>
      <c r="H1" s="53" t="s">
        <v>2</v>
      </c>
      <c r="I1" s="53" t="s">
        <v>3</v>
      </c>
      <c r="J1" s="42" t="s">
        <v>290</v>
      </c>
      <c r="K1" s="69" t="s">
        <v>313</v>
      </c>
      <c r="L1" s="24" t="s">
        <v>291</v>
      </c>
      <c r="M1" s="24" t="s">
        <v>292</v>
      </c>
      <c r="N1" s="24" t="s">
        <v>293</v>
      </c>
      <c r="O1" s="24" t="s">
        <v>294</v>
      </c>
      <c r="P1" s="24" t="s">
        <v>295</v>
      </c>
      <c r="Q1" s="24" t="s">
        <v>296</v>
      </c>
      <c r="R1" s="42" t="s">
        <v>297</v>
      </c>
      <c r="S1" s="42" t="s">
        <v>298</v>
      </c>
      <c r="T1" s="36" t="s">
        <v>299</v>
      </c>
      <c r="U1" s="36" t="s">
        <v>300</v>
      </c>
      <c r="V1" s="59" t="s">
        <v>301</v>
      </c>
      <c r="W1" s="42" t="s">
        <v>302</v>
      </c>
      <c r="X1" s="45" t="s">
        <v>303</v>
      </c>
      <c r="Y1" s="42" t="s">
        <v>304</v>
      </c>
      <c r="Z1" s="36" t="s">
        <v>305</v>
      </c>
      <c r="AA1" s="48" t="s">
        <v>306</v>
      </c>
      <c r="AB1" s="49" t="s">
        <v>307</v>
      </c>
      <c r="AC1" s="56" t="s">
        <v>308</v>
      </c>
      <c r="AD1" s="57" t="s">
        <v>309</v>
      </c>
    </row>
    <row r="2" spans="1:30" ht="19.5" customHeight="1" x14ac:dyDescent="0.25">
      <c r="A2" s="20">
        <v>1</v>
      </c>
      <c r="B2" s="1" t="s">
        <v>161</v>
      </c>
      <c r="C2" s="4" t="s">
        <v>274</v>
      </c>
      <c r="D2" s="4" t="s">
        <v>13</v>
      </c>
      <c r="E2" s="4" t="s">
        <v>37</v>
      </c>
      <c r="F2" s="37">
        <v>31</v>
      </c>
      <c r="G2" s="63" t="str">
        <f>IF(Faculty_Clean_Data[[#This Row],[Experience_Years]]&lt;5,"Junior",IF(Faculty_Clean_Data[[#This Row],[Experience_Years]]&gt;=15, "Senior", "Mid"))</f>
        <v>Senior</v>
      </c>
      <c r="H2" s="1" t="s">
        <v>144</v>
      </c>
      <c r="I2" s="1" t="s">
        <v>140</v>
      </c>
      <c r="J2" s="2">
        <v>2</v>
      </c>
      <c r="K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" s="2">
        <v>0</v>
      </c>
      <c r="M2" s="2">
        <v>1</v>
      </c>
      <c r="N2" s="2">
        <v>1</v>
      </c>
      <c r="O2" s="2">
        <v>2</v>
      </c>
      <c r="P2" s="2">
        <v>0</v>
      </c>
      <c r="Q2" s="2">
        <v>1</v>
      </c>
      <c r="R2" s="2">
        <v>8</v>
      </c>
      <c r="S2" s="38">
        <v>8</v>
      </c>
      <c r="T2" s="2">
        <v>0</v>
      </c>
      <c r="U2" s="2">
        <v>3</v>
      </c>
      <c r="V2" s="60">
        <f>SUM(Faculty_Clean_Data[[#This Row],[Teaching_Hours]],Faculty_Clean_Data[[#This Row],[Lab_Hours]],Faculty_Clean_Data[[#This Row],[Tutorials_Activity]])</f>
        <v>11</v>
      </c>
      <c r="W2" s="38">
        <v>5</v>
      </c>
      <c r="X2" s="39">
        <v>8</v>
      </c>
      <c r="Y2" s="38">
        <v>2</v>
      </c>
      <c r="Z2" s="38">
        <v>3</v>
      </c>
      <c r="AA2" s="43">
        <f t="shared" ref="AA2:AA65" si="0">SUM(X2:Z2)</f>
        <v>13</v>
      </c>
      <c r="AB2" s="50">
        <f t="shared" ref="AB2:AB65" si="1">SUM(V2,W2,AA2)</f>
        <v>29</v>
      </c>
      <c r="AC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29</v>
      </c>
      <c r="AD2" s="58" t="str">
        <f>IF(Faculty_Clean_Data[[#This Row],[Check_Total]]-Faculty_Clean_Data[[#This Row],[Total_Hours]]&gt;0.5,"Mismatch","OK")</f>
        <v>OK</v>
      </c>
    </row>
    <row r="3" spans="1:30" ht="34.5" customHeight="1" x14ac:dyDescent="0.25">
      <c r="A3" s="20">
        <v>2</v>
      </c>
      <c r="B3" s="1" t="s">
        <v>162</v>
      </c>
      <c r="C3" s="4" t="s">
        <v>14</v>
      </c>
      <c r="D3" s="4" t="s">
        <v>15</v>
      </c>
      <c r="E3" s="4" t="s">
        <v>37</v>
      </c>
      <c r="F3" s="37">
        <v>6.916666666666667</v>
      </c>
      <c r="G3" s="63" t="str">
        <f>IF(Faculty_Clean_Data[[#This Row],[Experience_Years]]&lt;5,"Junior",IF(Faculty_Clean_Data[[#This Row],[Experience_Years]]&gt;=15, "Senior", "Mid"))</f>
        <v>Mid</v>
      </c>
      <c r="H3" s="1" t="s">
        <v>144</v>
      </c>
      <c r="I3" s="1" t="s">
        <v>151</v>
      </c>
      <c r="J3" s="2">
        <v>2</v>
      </c>
      <c r="K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" s="2">
        <v>0</v>
      </c>
      <c r="M3" s="2">
        <v>1</v>
      </c>
      <c r="N3" s="2">
        <v>1</v>
      </c>
      <c r="O3" s="2">
        <v>1.6</v>
      </c>
      <c r="P3" s="2">
        <v>1</v>
      </c>
      <c r="Q3" s="2">
        <v>1</v>
      </c>
      <c r="R3" s="2">
        <v>6</v>
      </c>
      <c r="S3" s="38">
        <v>6</v>
      </c>
      <c r="T3" s="2">
        <v>0</v>
      </c>
      <c r="U3" s="2">
        <v>1</v>
      </c>
      <c r="V3" s="60">
        <f>SUM(Faculty_Clean_Data[[#This Row],[Teaching_Hours]],Faculty_Clean_Data[[#This Row],[Lab_Hours]],Faculty_Clean_Data[[#This Row],[Tutorials_Activity]])</f>
        <v>7</v>
      </c>
      <c r="W3" s="38">
        <v>3</v>
      </c>
      <c r="X3" s="39">
        <v>6</v>
      </c>
      <c r="Y3" s="38">
        <v>2</v>
      </c>
      <c r="Z3" s="38">
        <v>3</v>
      </c>
      <c r="AA3" s="43">
        <f t="shared" si="0"/>
        <v>11</v>
      </c>
      <c r="AB3" s="50">
        <f t="shared" si="1"/>
        <v>21</v>
      </c>
      <c r="AC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21</v>
      </c>
      <c r="AD3" s="58" t="str">
        <f>IF(Faculty_Clean_Data[[#This Row],[Check_Total]]-Faculty_Clean_Data[[#This Row],[Total_Hours]]&gt;0.5,"Mismatch","OK")</f>
        <v>OK</v>
      </c>
    </row>
    <row r="4" spans="1:30" x14ac:dyDescent="0.25">
      <c r="A4" s="20">
        <v>3</v>
      </c>
      <c r="B4" s="1" t="s">
        <v>163</v>
      </c>
      <c r="C4" s="4" t="s">
        <v>16</v>
      </c>
      <c r="D4" s="4" t="s">
        <v>311</v>
      </c>
      <c r="E4" s="4" t="s">
        <v>37</v>
      </c>
      <c r="F4" s="37">
        <v>36</v>
      </c>
      <c r="G4" s="63" t="str">
        <f>IF(Faculty_Clean_Data[[#This Row],[Experience_Years]]&lt;5,"Junior",IF(Faculty_Clean_Data[[#This Row],[Experience_Years]]&gt;=15, "Senior", "Mid"))</f>
        <v>Senior</v>
      </c>
      <c r="H4" s="1" t="s">
        <v>144</v>
      </c>
      <c r="I4" s="1" t="s">
        <v>152</v>
      </c>
      <c r="J4" s="2">
        <v>2</v>
      </c>
      <c r="K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" s="2">
        <v>1</v>
      </c>
      <c r="M4" s="2">
        <v>1</v>
      </c>
      <c r="N4" s="2">
        <v>0</v>
      </c>
      <c r="O4" s="2">
        <v>2</v>
      </c>
      <c r="P4" s="2">
        <v>0</v>
      </c>
      <c r="Q4" s="2">
        <v>1</v>
      </c>
      <c r="R4" s="2">
        <v>2</v>
      </c>
      <c r="S4" s="38">
        <v>2</v>
      </c>
      <c r="T4" s="2">
        <v>0</v>
      </c>
      <c r="U4" s="2">
        <v>0</v>
      </c>
      <c r="V4" s="60">
        <f>SUM(Faculty_Clean_Data[[#This Row],[Teaching_Hours]],Faculty_Clean_Data[[#This Row],[Lab_Hours]],Faculty_Clean_Data[[#This Row],[Tutorials_Activity]])</f>
        <v>2</v>
      </c>
      <c r="W4" s="38">
        <v>5</v>
      </c>
      <c r="X4" s="39">
        <v>2</v>
      </c>
      <c r="Y4" s="38">
        <v>8</v>
      </c>
      <c r="Z4" s="38">
        <v>1</v>
      </c>
      <c r="AA4" s="43">
        <f t="shared" si="0"/>
        <v>11</v>
      </c>
      <c r="AB4" s="50">
        <f t="shared" si="1"/>
        <v>18</v>
      </c>
      <c r="AC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18</v>
      </c>
      <c r="AD4" s="58" t="str">
        <f>IF(Faculty_Clean_Data[[#This Row],[Check_Total]]-Faculty_Clean_Data[[#This Row],[Total_Hours]]&gt;0.5,"Mismatch","OK")</f>
        <v>OK</v>
      </c>
    </row>
    <row r="5" spans="1:30" ht="30" x14ac:dyDescent="0.25">
      <c r="A5" s="20">
        <v>4</v>
      </c>
      <c r="B5" s="1" t="s">
        <v>164</v>
      </c>
      <c r="C5" s="4" t="s">
        <v>19</v>
      </c>
      <c r="D5" s="4" t="s">
        <v>15</v>
      </c>
      <c r="E5" s="4" t="s">
        <v>38</v>
      </c>
      <c r="F5" s="37">
        <v>8.1666666666666661</v>
      </c>
      <c r="G5" s="63" t="str">
        <f>IF(Faculty_Clean_Data[[#This Row],[Experience_Years]]&lt;5,"Junior",IF(Faculty_Clean_Data[[#This Row],[Experience_Years]]&gt;=15, "Senior", "Mid"))</f>
        <v>Mid</v>
      </c>
      <c r="H5" s="1" t="s">
        <v>144</v>
      </c>
      <c r="I5" s="1" t="s">
        <v>140</v>
      </c>
      <c r="J5" s="2">
        <v>1</v>
      </c>
      <c r="K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" s="2">
        <v>1</v>
      </c>
      <c r="M5" s="2">
        <v>1</v>
      </c>
      <c r="N5" s="2">
        <v>0</v>
      </c>
      <c r="O5" s="2">
        <v>2</v>
      </c>
      <c r="P5" s="2">
        <v>0</v>
      </c>
      <c r="Q5" s="2">
        <v>1</v>
      </c>
      <c r="R5" s="2">
        <v>8</v>
      </c>
      <c r="S5" s="38">
        <v>8</v>
      </c>
      <c r="T5" s="2">
        <v>0</v>
      </c>
      <c r="U5" s="2">
        <v>2</v>
      </c>
      <c r="V5" s="60">
        <f>SUM(Faculty_Clean_Data[[#This Row],[Teaching_Hours]],Faculty_Clean_Data[[#This Row],[Lab_Hours]],Faculty_Clean_Data[[#This Row],[Tutorials_Activity]])</f>
        <v>10</v>
      </c>
      <c r="W5" s="38">
        <v>3</v>
      </c>
      <c r="X5" s="39">
        <v>2</v>
      </c>
      <c r="Y5" s="38">
        <v>2</v>
      </c>
      <c r="Z5" s="38">
        <v>1</v>
      </c>
      <c r="AA5" s="43">
        <f t="shared" si="0"/>
        <v>5</v>
      </c>
      <c r="AB5" s="50">
        <f t="shared" si="1"/>
        <v>18</v>
      </c>
      <c r="AC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18</v>
      </c>
      <c r="AD5" s="58" t="str">
        <f>IF(Faculty_Clean_Data[[#This Row],[Check_Total]]-Faculty_Clean_Data[[#This Row],[Total_Hours]]&gt;0.5,"Mismatch","OK")</f>
        <v>OK</v>
      </c>
    </row>
    <row r="6" spans="1:30" ht="30" x14ac:dyDescent="0.25">
      <c r="A6" s="20">
        <v>5</v>
      </c>
      <c r="B6" s="1" t="s">
        <v>166</v>
      </c>
      <c r="C6" s="4" t="s">
        <v>20</v>
      </c>
      <c r="D6" s="4" t="s">
        <v>18</v>
      </c>
      <c r="E6" s="4" t="s">
        <v>38</v>
      </c>
      <c r="F6" s="37">
        <v>6.916666666666667</v>
      </c>
      <c r="G6" s="63" t="str">
        <f>IF(Faculty_Clean_Data[[#This Row],[Experience_Years]]&lt;5,"Junior",IF(Faculty_Clean_Data[[#This Row],[Experience_Years]]&gt;=15, "Senior", "Mid"))</f>
        <v>Mid</v>
      </c>
      <c r="H6" s="1" t="s">
        <v>144</v>
      </c>
      <c r="I6" s="1" t="s">
        <v>151</v>
      </c>
      <c r="J6" s="2">
        <v>2</v>
      </c>
      <c r="K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" s="2">
        <v>1</v>
      </c>
      <c r="M6" s="2">
        <v>1</v>
      </c>
      <c r="N6" s="2">
        <v>1</v>
      </c>
      <c r="O6" s="2">
        <v>2.2000000000000002</v>
      </c>
      <c r="P6" s="2">
        <v>0</v>
      </c>
      <c r="Q6" s="2">
        <v>1</v>
      </c>
      <c r="R6" s="2">
        <v>10</v>
      </c>
      <c r="S6" s="38">
        <v>10</v>
      </c>
      <c r="T6" s="2">
        <v>0</v>
      </c>
      <c r="U6" s="2">
        <v>1</v>
      </c>
      <c r="V6" s="60">
        <f>SUM(Faculty_Clean_Data[[#This Row],[Teaching_Hours]],Faculty_Clean_Data[[#This Row],[Lab_Hours]],Faculty_Clean_Data[[#This Row],[Tutorials_Activity]])</f>
        <v>11</v>
      </c>
      <c r="W6" s="38">
        <v>1</v>
      </c>
      <c r="X6" s="39">
        <v>2</v>
      </c>
      <c r="Y6" s="38">
        <v>2</v>
      </c>
      <c r="Z6" s="38">
        <v>1</v>
      </c>
      <c r="AA6" s="43">
        <f t="shared" si="0"/>
        <v>5</v>
      </c>
      <c r="AB6" s="50">
        <f t="shared" si="1"/>
        <v>17</v>
      </c>
      <c r="AC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17</v>
      </c>
      <c r="AD6" s="58" t="str">
        <f>IF(Faculty_Clean_Data[[#This Row],[Check_Total]]-Faculty_Clean_Data[[#This Row],[Total_Hours]]&gt;0.5,"Mismatch","OK")</f>
        <v>OK</v>
      </c>
    </row>
    <row r="7" spans="1:30" ht="30" x14ac:dyDescent="0.25">
      <c r="A7" s="20">
        <v>6</v>
      </c>
      <c r="B7" s="1" t="s">
        <v>165</v>
      </c>
      <c r="C7" s="4" t="s">
        <v>21</v>
      </c>
      <c r="D7" s="4" t="s">
        <v>18</v>
      </c>
      <c r="E7" s="4" t="s">
        <v>38</v>
      </c>
      <c r="F7" s="37">
        <v>4.416666666666667</v>
      </c>
      <c r="G7" s="63" t="str">
        <f>IF(Faculty_Clean_Data[[#This Row],[Experience_Years]]&lt;5,"Junior",IF(Faculty_Clean_Data[[#This Row],[Experience_Years]]&gt;=15, "Senior", "Mid"))</f>
        <v>Junior</v>
      </c>
      <c r="H7" s="1" t="s">
        <v>144</v>
      </c>
      <c r="I7" s="1" t="s">
        <v>152</v>
      </c>
      <c r="J7" s="2">
        <v>2</v>
      </c>
      <c r="K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" s="2">
        <v>0</v>
      </c>
      <c r="M7" s="2">
        <v>1</v>
      </c>
      <c r="N7" s="2">
        <v>1</v>
      </c>
      <c r="O7" s="2">
        <v>1.08</v>
      </c>
      <c r="P7" s="2">
        <v>0</v>
      </c>
      <c r="Q7" s="2">
        <v>1</v>
      </c>
      <c r="R7" s="2">
        <v>7</v>
      </c>
      <c r="S7" s="38">
        <v>7</v>
      </c>
      <c r="T7" s="2">
        <v>0</v>
      </c>
      <c r="U7" s="2">
        <v>2</v>
      </c>
      <c r="V7" s="60">
        <f>SUM(Faculty_Clean_Data[[#This Row],[Teaching_Hours]],Faculty_Clean_Data[[#This Row],[Lab_Hours]],Faculty_Clean_Data[[#This Row],[Tutorials_Activity]])</f>
        <v>9</v>
      </c>
      <c r="W7" s="38">
        <v>1</v>
      </c>
      <c r="X7" s="39">
        <v>5.5</v>
      </c>
      <c r="Y7" s="38">
        <v>2</v>
      </c>
      <c r="Z7" s="38">
        <v>3</v>
      </c>
      <c r="AA7" s="43">
        <f t="shared" si="0"/>
        <v>10.5</v>
      </c>
      <c r="AB7" s="50">
        <f t="shared" si="1"/>
        <v>20.5</v>
      </c>
      <c r="AC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20.5</v>
      </c>
      <c r="AD7" s="58" t="str">
        <f>IF(Faculty_Clean_Data[[#This Row],[Check_Total]]-Faculty_Clean_Data[[#This Row],[Total_Hours]]&gt;0.5,"Mismatch","OK")</f>
        <v>OK</v>
      </c>
    </row>
    <row r="8" spans="1:30" ht="30" x14ac:dyDescent="0.25">
      <c r="A8" s="20">
        <v>7</v>
      </c>
      <c r="B8" s="1" t="s">
        <v>167</v>
      </c>
      <c r="C8" s="4" t="s">
        <v>22</v>
      </c>
      <c r="D8" s="4" t="s">
        <v>18</v>
      </c>
      <c r="E8" s="4" t="s">
        <v>38</v>
      </c>
      <c r="F8" s="37">
        <v>3.0833333333333335</v>
      </c>
      <c r="G8" s="63" t="str">
        <f>IF(Faculty_Clean_Data[[#This Row],[Experience_Years]]&lt;5,"Junior",IF(Faculty_Clean_Data[[#This Row],[Experience_Years]]&gt;=15, "Senior", "Mid"))</f>
        <v>Junior</v>
      </c>
      <c r="H8" s="1" t="s">
        <v>144</v>
      </c>
      <c r="I8" s="1" t="s">
        <v>151</v>
      </c>
      <c r="J8" s="2">
        <v>2</v>
      </c>
      <c r="K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" s="2">
        <v>0</v>
      </c>
      <c r="M8" s="2">
        <v>1</v>
      </c>
      <c r="N8" s="2">
        <v>1</v>
      </c>
      <c r="O8" s="2">
        <v>0.54</v>
      </c>
      <c r="P8" s="2">
        <v>1</v>
      </c>
      <c r="Q8" s="2">
        <v>0</v>
      </c>
      <c r="R8" s="2">
        <v>10</v>
      </c>
      <c r="S8" s="38">
        <v>10</v>
      </c>
      <c r="T8" s="2">
        <v>0</v>
      </c>
      <c r="U8" s="2">
        <v>3</v>
      </c>
      <c r="V8" s="60">
        <f>SUM(Faculty_Clean_Data[[#This Row],[Teaching_Hours]],Faculty_Clean_Data[[#This Row],[Lab_Hours]],Faculty_Clean_Data[[#This Row],[Tutorials_Activity]])</f>
        <v>13</v>
      </c>
      <c r="W8" s="38">
        <v>1</v>
      </c>
      <c r="X8" s="39">
        <v>3</v>
      </c>
      <c r="Y8" s="38">
        <v>2</v>
      </c>
      <c r="Z8" s="38">
        <v>1</v>
      </c>
      <c r="AA8" s="43">
        <f t="shared" si="0"/>
        <v>6</v>
      </c>
      <c r="AB8" s="50">
        <f t="shared" si="1"/>
        <v>20</v>
      </c>
      <c r="AC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</v>
      </c>
      <c r="AD8" s="58" t="str">
        <f>IF(Faculty_Clean_Data[[#This Row],[Check_Total]]-Faculty_Clean_Data[[#This Row],[Total_Hours]]&gt;0.5,"Mismatch","OK")</f>
        <v>OK</v>
      </c>
    </row>
    <row r="9" spans="1:30" ht="30" x14ac:dyDescent="0.25">
      <c r="A9" s="20">
        <v>8</v>
      </c>
      <c r="B9" s="1" t="s">
        <v>168</v>
      </c>
      <c r="C9" s="4" t="s">
        <v>23</v>
      </c>
      <c r="D9" s="4" t="s">
        <v>15</v>
      </c>
      <c r="E9" s="4" t="s">
        <v>38</v>
      </c>
      <c r="F9" s="37">
        <v>20</v>
      </c>
      <c r="G9" s="63" t="str">
        <f>IF(Faculty_Clean_Data[[#This Row],[Experience_Years]]&lt;5,"Junior",IF(Faculty_Clean_Data[[#This Row],[Experience_Years]]&gt;=15, "Senior", "Mid"))</f>
        <v>Senior</v>
      </c>
      <c r="H9" s="1" t="s">
        <v>144</v>
      </c>
      <c r="I9" s="1" t="s">
        <v>152</v>
      </c>
      <c r="J9" s="2">
        <v>2</v>
      </c>
      <c r="K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" s="2">
        <v>0</v>
      </c>
      <c r="M9" s="2">
        <v>0</v>
      </c>
      <c r="N9" s="2">
        <v>2</v>
      </c>
      <c r="O9" s="2">
        <v>0.38</v>
      </c>
      <c r="P9" s="2">
        <v>0</v>
      </c>
      <c r="Q9" s="2">
        <v>1</v>
      </c>
      <c r="R9" s="2">
        <v>8</v>
      </c>
      <c r="S9" s="38">
        <v>8</v>
      </c>
      <c r="T9" s="2">
        <v>0</v>
      </c>
      <c r="U9" s="2">
        <v>2</v>
      </c>
      <c r="V9" s="60">
        <f>SUM(Faculty_Clean_Data[[#This Row],[Teaching_Hours]],Faculty_Clean_Data[[#This Row],[Lab_Hours]],Faculty_Clean_Data[[#This Row],[Tutorials_Activity]])</f>
        <v>10</v>
      </c>
      <c r="W9" s="38">
        <v>3</v>
      </c>
      <c r="X9" s="39">
        <v>9</v>
      </c>
      <c r="Y9" s="38">
        <v>7</v>
      </c>
      <c r="Z9" s="38">
        <v>3</v>
      </c>
      <c r="AA9" s="43">
        <f t="shared" si="0"/>
        <v>19</v>
      </c>
      <c r="AB9" s="50">
        <f t="shared" si="1"/>
        <v>32</v>
      </c>
      <c r="AC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32</v>
      </c>
      <c r="AD9" s="58" t="str">
        <f>IF(Faculty_Clean_Data[[#This Row],[Check_Total]]-Faculty_Clean_Data[[#This Row],[Total_Hours]]&gt;0.5,"Mismatch","OK")</f>
        <v>OK</v>
      </c>
    </row>
    <row r="10" spans="1:30" ht="30" x14ac:dyDescent="0.25">
      <c r="A10" s="20">
        <v>9</v>
      </c>
      <c r="B10" s="1" t="s">
        <v>169</v>
      </c>
      <c r="C10" s="4" t="s">
        <v>273</v>
      </c>
      <c r="D10" s="4" t="s">
        <v>15</v>
      </c>
      <c r="E10" s="4" t="s">
        <v>37</v>
      </c>
      <c r="F10" s="37">
        <v>20</v>
      </c>
      <c r="G10" s="63" t="str">
        <f>IF(Faculty_Clean_Data[[#This Row],[Experience_Years]]&lt;5,"Junior",IF(Faculty_Clean_Data[[#This Row],[Experience_Years]]&gt;=15, "Senior", "Mid"))</f>
        <v>Senior</v>
      </c>
      <c r="H10" s="1" t="s">
        <v>144</v>
      </c>
      <c r="I10" s="1" t="s">
        <v>140</v>
      </c>
      <c r="J10" s="2">
        <v>2</v>
      </c>
      <c r="K1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" s="2">
        <v>0</v>
      </c>
      <c r="M10" s="2">
        <v>1</v>
      </c>
      <c r="N10" s="2">
        <v>1</v>
      </c>
      <c r="O10" s="2">
        <v>2</v>
      </c>
      <c r="P10" s="2">
        <v>1</v>
      </c>
      <c r="Q10" s="2">
        <v>0</v>
      </c>
      <c r="R10" s="2">
        <v>8</v>
      </c>
      <c r="S10" s="38">
        <v>8</v>
      </c>
      <c r="T10" s="2">
        <v>0</v>
      </c>
      <c r="U10" s="2">
        <v>1</v>
      </c>
      <c r="V10" s="60">
        <f>SUM(Faculty_Clean_Data[[#This Row],[Teaching_Hours]],Faculty_Clean_Data[[#This Row],[Lab_Hours]],Faculty_Clean_Data[[#This Row],[Tutorials_Activity]])</f>
        <v>9</v>
      </c>
      <c r="W10" s="38">
        <v>3</v>
      </c>
      <c r="X10" s="39">
        <v>8</v>
      </c>
      <c r="Y10" s="38">
        <v>6</v>
      </c>
      <c r="Z10" s="38">
        <v>3</v>
      </c>
      <c r="AA10" s="43">
        <f t="shared" si="0"/>
        <v>17</v>
      </c>
      <c r="AB10" s="50">
        <f t="shared" si="1"/>
        <v>29</v>
      </c>
      <c r="AC1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29</v>
      </c>
      <c r="AD10" s="58" t="str">
        <f>IF(Faculty_Clean_Data[[#This Row],[Check_Total]]-Faculty_Clean_Data[[#This Row],[Total_Hours]]&gt;0.5,"Mismatch","OK")</f>
        <v>OK</v>
      </c>
    </row>
    <row r="11" spans="1:30" ht="30" x14ac:dyDescent="0.25">
      <c r="A11" s="20">
        <v>10</v>
      </c>
      <c r="B11" s="1" t="s">
        <v>170</v>
      </c>
      <c r="C11" s="4" t="s">
        <v>24</v>
      </c>
      <c r="D11" s="4" t="s">
        <v>18</v>
      </c>
      <c r="E11" s="4" t="s">
        <v>38</v>
      </c>
      <c r="F11" s="37">
        <v>6.25</v>
      </c>
      <c r="G11" s="63" t="str">
        <f>IF(Faculty_Clean_Data[[#This Row],[Experience_Years]]&lt;5,"Junior",IF(Faculty_Clean_Data[[#This Row],[Experience_Years]]&gt;=15, "Senior", "Mid"))</f>
        <v>Mid</v>
      </c>
      <c r="H11" s="1" t="s">
        <v>144</v>
      </c>
      <c r="I11" s="1" t="s">
        <v>140</v>
      </c>
      <c r="J11" s="2">
        <v>1</v>
      </c>
      <c r="K1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1" s="2">
        <v>1</v>
      </c>
      <c r="M11" s="2">
        <v>1</v>
      </c>
      <c r="N11" s="2">
        <v>0</v>
      </c>
      <c r="O11" s="2">
        <v>2</v>
      </c>
      <c r="P11" s="2">
        <v>0</v>
      </c>
      <c r="Q11" s="2">
        <v>1</v>
      </c>
      <c r="R11" s="2">
        <v>8</v>
      </c>
      <c r="S11" s="38">
        <v>8</v>
      </c>
      <c r="T11" s="2">
        <v>0</v>
      </c>
      <c r="U11" s="2">
        <v>2</v>
      </c>
      <c r="V11" s="60">
        <f>SUM(Faculty_Clean_Data[[#This Row],[Teaching_Hours]],Faculty_Clean_Data[[#This Row],[Lab_Hours]],Faculty_Clean_Data[[#This Row],[Tutorials_Activity]])</f>
        <v>10</v>
      </c>
      <c r="W11" s="38">
        <v>1</v>
      </c>
      <c r="X11" s="39">
        <v>2</v>
      </c>
      <c r="Y11" s="38">
        <v>2</v>
      </c>
      <c r="Z11" s="38">
        <v>1</v>
      </c>
      <c r="AA11" s="43">
        <f t="shared" si="0"/>
        <v>5</v>
      </c>
      <c r="AB11" s="50">
        <f t="shared" si="1"/>
        <v>16</v>
      </c>
      <c r="AC1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16</v>
      </c>
      <c r="AD11" s="58" t="str">
        <f>IF(Faculty_Clean_Data[[#This Row],[Check_Total]]-Faculty_Clean_Data[[#This Row],[Total_Hours]]&gt;0.5,"Mismatch","OK")</f>
        <v>OK</v>
      </c>
    </row>
    <row r="12" spans="1:30" ht="30" x14ac:dyDescent="0.25">
      <c r="A12" s="20">
        <v>11</v>
      </c>
      <c r="B12" s="1" t="s">
        <v>171</v>
      </c>
      <c r="C12" s="4" t="s">
        <v>25</v>
      </c>
      <c r="D12" s="4" t="s">
        <v>18</v>
      </c>
      <c r="E12" s="4" t="s">
        <v>38</v>
      </c>
      <c r="F12" s="37">
        <v>8.25</v>
      </c>
      <c r="G12" s="63" t="str">
        <f>IF(Faculty_Clean_Data[[#This Row],[Experience_Years]]&lt;5,"Junior",IF(Faculty_Clean_Data[[#This Row],[Experience_Years]]&gt;=15, "Senior", "Mid"))</f>
        <v>Mid</v>
      </c>
      <c r="H12" s="1" t="s">
        <v>144</v>
      </c>
      <c r="I12" s="1" t="s">
        <v>151</v>
      </c>
      <c r="J12" s="2">
        <v>2</v>
      </c>
      <c r="K1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2" s="2">
        <v>0</v>
      </c>
      <c r="M12" s="2">
        <v>2</v>
      </c>
      <c r="N12" s="2">
        <v>0</v>
      </c>
      <c r="O12" s="2">
        <v>2</v>
      </c>
      <c r="P12" s="2">
        <v>0</v>
      </c>
      <c r="Q12" s="2">
        <v>0</v>
      </c>
      <c r="R12" s="2">
        <v>8</v>
      </c>
      <c r="S12" s="38">
        <v>8</v>
      </c>
      <c r="T12" s="2">
        <v>0</v>
      </c>
      <c r="U12" s="2">
        <v>2</v>
      </c>
      <c r="V12" s="60">
        <f>SUM(Faculty_Clean_Data[[#This Row],[Teaching_Hours]],Faculty_Clean_Data[[#This Row],[Lab_Hours]],Faculty_Clean_Data[[#This Row],[Tutorials_Activity]])</f>
        <v>10</v>
      </c>
      <c r="W12" s="38">
        <v>1</v>
      </c>
      <c r="X12" s="39">
        <v>2</v>
      </c>
      <c r="Y12" s="38">
        <v>2</v>
      </c>
      <c r="Z12" s="38">
        <v>1</v>
      </c>
      <c r="AA12" s="43">
        <f t="shared" si="0"/>
        <v>5</v>
      </c>
      <c r="AB12" s="50">
        <f t="shared" si="1"/>
        <v>16</v>
      </c>
      <c r="AC1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16</v>
      </c>
      <c r="AD12" s="58" t="str">
        <f>IF(Faculty_Clean_Data[[#This Row],[Check_Total]]-Faculty_Clean_Data[[#This Row],[Total_Hours]]&gt;0.5,"Mismatch","OK")</f>
        <v>OK</v>
      </c>
    </row>
    <row r="13" spans="1:30" ht="30" x14ac:dyDescent="0.25">
      <c r="A13" s="20">
        <v>12</v>
      </c>
      <c r="B13" s="1" t="s">
        <v>172</v>
      </c>
      <c r="C13" s="4" t="s">
        <v>26</v>
      </c>
      <c r="D13" s="4" t="s">
        <v>15</v>
      </c>
      <c r="E13" s="4" t="s">
        <v>38</v>
      </c>
      <c r="F13" s="37">
        <v>11.5</v>
      </c>
      <c r="G13" s="63" t="str">
        <f>IF(Faculty_Clean_Data[[#This Row],[Experience_Years]]&lt;5,"Junior",IF(Faculty_Clean_Data[[#This Row],[Experience_Years]]&gt;=15, "Senior", "Mid"))</f>
        <v>Mid</v>
      </c>
      <c r="H13" s="1" t="s">
        <v>144</v>
      </c>
      <c r="I13" s="1" t="s">
        <v>151</v>
      </c>
      <c r="J13" s="2">
        <v>2</v>
      </c>
      <c r="K1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3" s="2">
        <v>1</v>
      </c>
      <c r="M13" s="2">
        <v>1</v>
      </c>
      <c r="N13" s="2">
        <v>1</v>
      </c>
      <c r="O13" s="2">
        <v>2.6</v>
      </c>
      <c r="P13" s="2">
        <v>0</v>
      </c>
      <c r="Q13" s="2">
        <v>1</v>
      </c>
      <c r="R13" s="2">
        <v>12</v>
      </c>
      <c r="S13" s="38">
        <v>12</v>
      </c>
      <c r="T13" s="2">
        <v>0</v>
      </c>
      <c r="U13" s="2">
        <v>3</v>
      </c>
      <c r="V13" s="60">
        <f>SUM(Faculty_Clean_Data[[#This Row],[Teaching_Hours]],Faculty_Clean_Data[[#This Row],[Lab_Hours]],Faculty_Clean_Data[[#This Row],[Tutorials_Activity]])</f>
        <v>15</v>
      </c>
      <c r="W13" s="38">
        <v>3</v>
      </c>
      <c r="X13" s="39">
        <v>4</v>
      </c>
      <c r="Y13" s="38">
        <v>2</v>
      </c>
      <c r="Z13" s="38">
        <v>3</v>
      </c>
      <c r="AA13" s="43">
        <f t="shared" si="0"/>
        <v>9</v>
      </c>
      <c r="AB13" s="50">
        <f t="shared" si="1"/>
        <v>27</v>
      </c>
      <c r="AC1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27</v>
      </c>
      <c r="AD13" s="58" t="str">
        <f>IF(Faculty_Clean_Data[[#This Row],[Check_Total]]-Faculty_Clean_Data[[#This Row],[Total_Hours]]&gt;0.5,"Mismatch","OK")</f>
        <v>OK</v>
      </c>
    </row>
    <row r="14" spans="1:30" ht="30" x14ac:dyDescent="0.25">
      <c r="A14" s="20">
        <v>13</v>
      </c>
      <c r="B14" s="1" t="s">
        <v>173</v>
      </c>
      <c r="C14" s="4" t="s">
        <v>27</v>
      </c>
      <c r="D14" s="4" t="s">
        <v>18</v>
      </c>
      <c r="E14" s="4" t="s">
        <v>38</v>
      </c>
      <c r="F14" s="37">
        <v>4.583333333333333</v>
      </c>
      <c r="G14" s="63" t="str">
        <f>IF(Faculty_Clean_Data[[#This Row],[Experience_Years]]&lt;5,"Junior",IF(Faculty_Clean_Data[[#This Row],[Experience_Years]]&gt;=15, "Senior", "Mid"))</f>
        <v>Junior</v>
      </c>
      <c r="H14" s="1" t="s">
        <v>144</v>
      </c>
      <c r="I14" s="1" t="s">
        <v>140</v>
      </c>
      <c r="J14" s="2">
        <v>4</v>
      </c>
      <c r="K1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4" s="2">
        <v>0</v>
      </c>
      <c r="M14" s="2">
        <v>3</v>
      </c>
      <c r="N14" s="2">
        <v>1</v>
      </c>
      <c r="O14" s="2">
        <v>4.2</v>
      </c>
      <c r="P14" s="2">
        <v>0</v>
      </c>
      <c r="Q14" s="2">
        <v>1</v>
      </c>
      <c r="R14" s="2">
        <v>15</v>
      </c>
      <c r="S14" s="38">
        <v>8</v>
      </c>
      <c r="T14" s="2">
        <v>6</v>
      </c>
      <c r="U14" s="2">
        <v>1</v>
      </c>
      <c r="V14" s="60">
        <f>SUM(Faculty_Clean_Data[[#This Row],[Teaching_Hours]],Faculty_Clean_Data[[#This Row],[Lab_Hours]],Faculty_Clean_Data[[#This Row],[Tutorials_Activity]])</f>
        <v>15</v>
      </c>
      <c r="W14" s="38">
        <v>1</v>
      </c>
      <c r="X14" s="39">
        <v>5</v>
      </c>
      <c r="Y14" s="38">
        <v>2</v>
      </c>
      <c r="Z14" s="38">
        <v>3</v>
      </c>
      <c r="AA14" s="43">
        <f t="shared" si="0"/>
        <v>10</v>
      </c>
      <c r="AB14" s="50">
        <f t="shared" si="1"/>
        <v>26</v>
      </c>
      <c r="AC1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26</v>
      </c>
      <c r="AD14" s="58" t="str">
        <f>IF(Faculty_Clean_Data[[#This Row],[Check_Total]]-Faculty_Clean_Data[[#This Row],[Total_Hours]]&gt;0.5,"Mismatch","OK")</f>
        <v>OK</v>
      </c>
    </row>
    <row r="15" spans="1:30" ht="30" x14ac:dyDescent="0.25">
      <c r="A15" s="20">
        <v>14</v>
      </c>
      <c r="B15" s="1" t="s">
        <v>174</v>
      </c>
      <c r="C15" s="4" t="s">
        <v>28</v>
      </c>
      <c r="D15" s="4" t="s">
        <v>18</v>
      </c>
      <c r="E15" s="4" t="s">
        <v>38</v>
      </c>
      <c r="F15" s="37">
        <v>16</v>
      </c>
      <c r="G15" s="63" t="str">
        <f>IF(Faculty_Clean_Data[[#This Row],[Experience_Years]]&lt;5,"Junior",IF(Faculty_Clean_Data[[#This Row],[Experience_Years]]&gt;=15, "Senior", "Mid"))</f>
        <v>Senior</v>
      </c>
      <c r="H15" s="1" t="s">
        <v>144</v>
      </c>
      <c r="I15" s="1" t="s">
        <v>152</v>
      </c>
      <c r="J15" s="2">
        <v>2</v>
      </c>
      <c r="K1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5" s="2">
        <v>1</v>
      </c>
      <c r="M15" s="2">
        <v>1</v>
      </c>
      <c r="N15" s="2">
        <v>1</v>
      </c>
      <c r="O15" s="2">
        <v>2.1800000000000002</v>
      </c>
      <c r="P15" s="2">
        <v>0</v>
      </c>
      <c r="Q15" s="2">
        <v>0</v>
      </c>
      <c r="R15" s="2">
        <v>12</v>
      </c>
      <c r="S15" s="38">
        <v>12</v>
      </c>
      <c r="T15" s="2">
        <v>0</v>
      </c>
      <c r="U15" s="2">
        <v>2</v>
      </c>
      <c r="V15" s="60">
        <f>SUM(Faculty_Clean_Data[[#This Row],[Teaching_Hours]],Faculty_Clean_Data[[#This Row],[Lab_Hours]],Faculty_Clean_Data[[#This Row],[Tutorials_Activity]])</f>
        <v>14</v>
      </c>
      <c r="W15" s="38">
        <v>1</v>
      </c>
      <c r="X15" s="39">
        <v>4</v>
      </c>
      <c r="Y15" s="38">
        <v>2</v>
      </c>
      <c r="Z15" s="38">
        <v>3</v>
      </c>
      <c r="AA15" s="43">
        <f t="shared" si="0"/>
        <v>9</v>
      </c>
      <c r="AB15" s="50">
        <f t="shared" si="1"/>
        <v>24</v>
      </c>
      <c r="AC1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15" s="58" t="str">
        <f>IF(Faculty_Clean_Data[[#This Row],[Check_Total]]-Faculty_Clean_Data[[#This Row],[Total_Hours]]&gt;0.5,"Mismatch","OK")</f>
        <v>OK</v>
      </c>
    </row>
    <row r="16" spans="1:30" ht="30" x14ac:dyDescent="0.25">
      <c r="A16" s="20">
        <v>15</v>
      </c>
      <c r="B16" s="1" t="s">
        <v>175</v>
      </c>
      <c r="C16" s="4" t="s">
        <v>153</v>
      </c>
      <c r="D16" s="4" t="s">
        <v>18</v>
      </c>
      <c r="E16" s="4" t="s">
        <v>38</v>
      </c>
      <c r="F16" s="37">
        <v>2.8333333333333335</v>
      </c>
      <c r="G16" s="63" t="str">
        <f>IF(Faculty_Clean_Data[[#This Row],[Experience_Years]]&lt;5,"Junior",IF(Faculty_Clean_Data[[#This Row],[Experience_Years]]&gt;=15, "Senior", "Mid"))</f>
        <v>Junior</v>
      </c>
      <c r="H16" s="1" t="s">
        <v>144</v>
      </c>
      <c r="I16" s="1" t="s">
        <v>140</v>
      </c>
      <c r="J16" s="2">
        <v>2</v>
      </c>
      <c r="K16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16" s="2">
        <v>1</v>
      </c>
      <c r="M16" s="2">
        <v>2</v>
      </c>
      <c r="N16" s="2">
        <v>0</v>
      </c>
      <c r="O16" s="2">
        <v>3</v>
      </c>
      <c r="P16" s="2">
        <v>1</v>
      </c>
      <c r="Q16" s="2">
        <v>0</v>
      </c>
      <c r="R16" s="2">
        <v>12</v>
      </c>
      <c r="S16" s="38">
        <v>12</v>
      </c>
      <c r="T16" s="2">
        <v>0</v>
      </c>
      <c r="U16" s="2">
        <v>2</v>
      </c>
      <c r="V16" s="60">
        <f>SUM(Faculty_Clean_Data[[#This Row],[Teaching_Hours]],Faculty_Clean_Data[[#This Row],[Lab_Hours]],Faculty_Clean_Data[[#This Row],[Tutorials_Activity]])</f>
        <v>14</v>
      </c>
      <c r="W16" s="38">
        <v>1</v>
      </c>
      <c r="X16" s="39">
        <v>4</v>
      </c>
      <c r="Y16" s="38">
        <v>2</v>
      </c>
      <c r="Z16" s="38">
        <v>3</v>
      </c>
      <c r="AA16" s="43">
        <f t="shared" si="0"/>
        <v>9</v>
      </c>
      <c r="AB16" s="50">
        <f t="shared" si="1"/>
        <v>24</v>
      </c>
      <c r="AC1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16" s="58" t="str">
        <f>IF(Faculty_Clean_Data[[#This Row],[Check_Total]]-Faculty_Clean_Data[[#This Row],[Total_Hours]]&gt;0.5,"Mismatch","OK")</f>
        <v>OK</v>
      </c>
    </row>
    <row r="17" spans="1:30" ht="30" x14ac:dyDescent="0.25">
      <c r="A17" s="20">
        <v>16</v>
      </c>
      <c r="B17" s="1" t="s">
        <v>176</v>
      </c>
      <c r="C17" s="4" t="s">
        <v>29</v>
      </c>
      <c r="D17" s="4" t="s">
        <v>15</v>
      </c>
      <c r="E17" s="4" t="s">
        <v>37</v>
      </c>
      <c r="F17" s="37">
        <v>11</v>
      </c>
      <c r="G17" s="63" t="str">
        <f>IF(Faculty_Clean_Data[[#This Row],[Experience_Years]]&lt;5,"Junior",IF(Faculty_Clean_Data[[#This Row],[Experience_Years]]&gt;=15, "Senior", "Mid"))</f>
        <v>Mid</v>
      </c>
      <c r="H17" s="1" t="s">
        <v>145</v>
      </c>
      <c r="I17" s="1" t="s">
        <v>147</v>
      </c>
      <c r="J17" s="2">
        <v>1</v>
      </c>
      <c r="K1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7" s="2">
        <v>1</v>
      </c>
      <c r="M17" s="2">
        <v>1</v>
      </c>
      <c r="N17" s="2">
        <v>0</v>
      </c>
      <c r="O17" s="2">
        <v>4</v>
      </c>
      <c r="P17" s="2">
        <v>0</v>
      </c>
      <c r="Q17" s="2">
        <v>1</v>
      </c>
      <c r="R17" s="2">
        <v>17</v>
      </c>
      <c r="S17" s="38">
        <v>17</v>
      </c>
      <c r="T17" s="2">
        <v>0</v>
      </c>
      <c r="U17" s="2">
        <v>2</v>
      </c>
      <c r="V17" s="60">
        <f>SUM(Faculty_Clean_Data[[#This Row],[Teaching_Hours]],Faculty_Clean_Data[[#This Row],[Lab_Hours]],Faculty_Clean_Data[[#This Row],[Tutorials_Activity]])</f>
        <v>19</v>
      </c>
      <c r="W17" s="38">
        <v>3</v>
      </c>
      <c r="X17" s="39">
        <v>3</v>
      </c>
      <c r="Y17" s="38">
        <v>2</v>
      </c>
      <c r="Z17" s="38">
        <v>1</v>
      </c>
      <c r="AA17" s="43">
        <f t="shared" si="0"/>
        <v>6</v>
      </c>
      <c r="AB17" s="50">
        <f t="shared" si="1"/>
        <v>28</v>
      </c>
      <c r="AC1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28</v>
      </c>
      <c r="AD17" s="58" t="str">
        <f>IF(Faculty_Clean_Data[[#This Row],[Check_Total]]-Faculty_Clean_Data[[#This Row],[Total_Hours]]&gt;0.5,"Mismatch","OK")</f>
        <v>OK</v>
      </c>
    </row>
    <row r="18" spans="1:30" ht="30" x14ac:dyDescent="0.25">
      <c r="A18" s="20">
        <v>17</v>
      </c>
      <c r="B18" s="1" t="s">
        <v>177</v>
      </c>
      <c r="C18" s="4" t="s">
        <v>157</v>
      </c>
      <c r="D18" s="4" t="s">
        <v>18</v>
      </c>
      <c r="E18" s="4" t="s">
        <v>39</v>
      </c>
      <c r="F18" s="37">
        <v>6.166666666666667</v>
      </c>
      <c r="G18" s="63" t="str">
        <f>IF(Faculty_Clean_Data[[#This Row],[Experience_Years]]&lt;5,"Junior",IF(Faculty_Clean_Data[[#This Row],[Experience_Years]]&gt;=15, "Senior", "Mid"))</f>
        <v>Mid</v>
      </c>
      <c r="H18" s="1" t="s">
        <v>144</v>
      </c>
      <c r="I18" s="1" t="s">
        <v>147</v>
      </c>
      <c r="J18" s="2">
        <v>1</v>
      </c>
      <c r="K1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8" s="2">
        <v>1</v>
      </c>
      <c r="M18" s="2">
        <v>1</v>
      </c>
      <c r="N18" s="2">
        <v>0</v>
      </c>
      <c r="O18" s="2">
        <v>3</v>
      </c>
      <c r="P18" s="2">
        <v>0</v>
      </c>
      <c r="Q18" s="2">
        <v>1</v>
      </c>
      <c r="R18" s="2">
        <v>11</v>
      </c>
      <c r="S18" s="38">
        <v>11</v>
      </c>
      <c r="T18" s="2"/>
      <c r="U18" s="2">
        <v>3</v>
      </c>
      <c r="V18" s="60">
        <f>SUM(Faculty_Clean_Data[[#This Row],[Teaching_Hours]],Faculty_Clean_Data[[#This Row],[Lab_Hours]],Faculty_Clean_Data[[#This Row],[Tutorials_Activity]])</f>
        <v>14</v>
      </c>
      <c r="W18" s="38">
        <v>1</v>
      </c>
      <c r="X18" s="39">
        <v>1</v>
      </c>
      <c r="Y18" s="38">
        <v>2</v>
      </c>
      <c r="Z18" s="38">
        <v>1</v>
      </c>
      <c r="AA18" s="43">
        <f t="shared" si="0"/>
        <v>4</v>
      </c>
      <c r="AB18" s="50">
        <f t="shared" si="1"/>
        <v>19</v>
      </c>
      <c r="AC1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19</v>
      </c>
      <c r="AD18" s="58" t="str">
        <f>IF(Faculty_Clean_Data[[#This Row],[Check_Total]]-Faculty_Clean_Data[[#This Row],[Total_Hours]]&gt;0.5,"Mismatch","OK")</f>
        <v>OK</v>
      </c>
    </row>
    <row r="19" spans="1:30" ht="30" x14ac:dyDescent="0.25">
      <c r="A19" s="20">
        <v>18</v>
      </c>
      <c r="B19" s="1" t="s">
        <v>178</v>
      </c>
      <c r="C19" s="4" t="s">
        <v>30</v>
      </c>
      <c r="D19" s="4" t="s">
        <v>15</v>
      </c>
      <c r="E19" s="4" t="s">
        <v>40</v>
      </c>
      <c r="F19" s="37">
        <v>34</v>
      </c>
      <c r="G19" s="63" t="str">
        <f>IF(Faculty_Clean_Data[[#This Row],[Experience_Years]]&lt;5,"Junior",IF(Faculty_Clean_Data[[#This Row],[Experience_Years]]&gt;=15, "Senior", "Mid"))</f>
        <v>Senior</v>
      </c>
      <c r="H19" s="1" t="s">
        <v>145</v>
      </c>
      <c r="I19" s="1" t="s">
        <v>149</v>
      </c>
      <c r="J19" s="2">
        <v>1</v>
      </c>
      <c r="K1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9" s="2">
        <v>1</v>
      </c>
      <c r="M19" s="2">
        <v>1</v>
      </c>
      <c r="N19" s="2">
        <v>0</v>
      </c>
      <c r="O19" s="2">
        <v>1.5</v>
      </c>
      <c r="P19" s="2">
        <v>0</v>
      </c>
      <c r="Q19" s="2">
        <v>1</v>
      </c>
      <c r="R19" s="2">
        <v>10</v>
      </c>
      <c r="S19" s="38">
        <v>10</v>
      </c>
      <c r="T19" s="2">
        <v>0</v>
      </c>
      <c r="U19" s="2">
        <v>2</v>
      </c>
      <c r="V19" s="60">
        <f>SUM(Faculty_Clean_Data[[#This Row],[Teaching_Hours]],Faculty_Clean_Data[[#This Row],[Lab_Hours]],Faculty_Clean_Data[[#This Row],[Tutorials_Activity]])</f>
        <v>12</v>
      </c>
      <c r="W19" s="38">
        <v>3</v>
      </c>
      <c r="X19" s="39">
        <v>5.5</v>
      </c>
      <c r="Y19" s="38">
        <v>2</v>
      </c>
      <c r="Z19" s="38">
        <v>1</v>
      </c>
      <c r="AA19" s="43">
        <f t="shared" si="0"/>
        <v>8.5</v>
      </c>
      <c r="AB19" s="50">
        <f t="shared" si="1"/>
        <v>23.5</v>
      </c>
      <c r="AC1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23.5</v>
      </c>
      <c r="AD19" s="58" t="str">
        <f>IF(Faculty_Clean_Data[[#This Row],[Check_Total]]-Faculty_Clean_Data[[#This Row],[Total_Hours]]&gt;0.5,"Mismatch","OK")</f>
        <v>OK</v>
      </c>
    </row>
    <row r="20" spans="1:30" ht="30" x14ac:dyDescent="0.25">
      <c r="A20" s="20">
        <v>19</v>
      </c>
      <c r="B20" s="1" t="s">
        <v>179</v>
      </c>
      <c r="C20" s="4" t="s">
        <v>31</v>
      </c>
      <c r="D20" s="4" t="s">
        <v>18</v>
      </c>
      <c r="E20" s="4" t="s">
        <v>41</v>
      </c>
      <c r="F20" s="37">
        <v>9</v>
      </c>
      <c r="G20" s="63" t="str">
        <f>IF(Faculty_Clean_Data[[#This Row],[Experience_Years]]&lt;5,"Junior",IF(Faculty_Clean_Data[[#This Row],[Experience_Years]]&gt;=15, "Senior", "Mid"))</f>
        <v>Mid</v>
      </c>
      <c r="H20" s="1" t="s">
        <v>146</v>
      </c>
      <c r="I20" s="1" t="s">
        <v>148</v>
      </c>
      <c r="J20" s="2"/>
      <c r="K2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0" s="2"/>
      <c r="M20" s="2"/>
      <c r="N20" s="2"/>
      <c r="O20" s="2"/>
      <c r="P20" s="2"/>
      <c r="Q20" s="2"/>
      <c r="R20" s="2"/>
      <c r="S20" s="38"/>
      <c r="T20" s="2"/>
      <c r="U20" s="2"/>
      <c r="V20" s="60">
        <f>SUM(Faculty_Clean_Data[[#This Row],[Teaching_Hours]],Faculty_Clean_Data[[#This Row],[Lab_Hours]],Faculty_Clean_Data[[#This Row],[Tutorials_Activity]])</f>
        <v>0</v>
      </c>
      <c r="W20" s="38">
        <v>1</v>
      </c>
      <c r="X20" s="39">
        <v>2</v>
      </c>
      <c r="Y20" s="38">
        <v>2</v>
      </c>
      <c r="Z20" s="38">
        <v>1</v>
      </c>
      <c r="AA20" s="43">
        <f t="shared" si="0"/>
        <v>5</v>
      </c>
      <c r="AB20" s="50">
        <f t="shared" si="1"/>
        <v>6</v>
      </c>
      <c r="AC2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6</v>
      </c>
      <c r="AD20" s="58" t="str">
        <f>IF(Faculty_Clean_Data[[#This Row],[Check_Total]]-Faculty_Clean_Data[[#This Row],[Total_Hours]]&gt;0.5,"Mismatch","OK")</f>
        <v>OK</v>
      </c>
    </row>
    <row r="21" spans="1:30" ht="30" x14ac:dyDescent="0.25">
      <c r="A21" s="20">
        <v>20</v>
      </c>
      <c r="B21" s="1" t="s">
        <v>180</v>
      </c>
      <c r="C21" s="4" t="s">
        <v>32</v>
      </c>
      <c r="D21" s="4" t="s">
        <v>15</v>
      </c>
      <c r="E21" s="4" t="s">
        <v>41</v>
      </c>
      <c r="F21" s="37">
        <v>14.083333333333334</v>
      </c>
      <c r="G21" s="63" t="str">
        <f>IF(Faculty_Clean_Data[[#This Row],[Experience_Years]]&lt;5,"Junior",IF(Faculty_Clean_Data[[#This Row],[Experience_Years]]&gt;=15, "Senior", "Mid"))</f>
        <v>Mid</v>
      </c>
      <c r="H21" s="1" t="s">
        <v>146</v>
      </c>
      <c r="I21" s="1" t="s">
        <v>150</v>
      </c>
      <c r="J21" s="2">
        <v>1</v>
      </c>
      <c r="K2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1" s="2">
        <v>1</v>
      </c>
      <c r="M21" s="2">
        <v>1</v>
      </c>
      <c r="N21" s="2">
        <v>0</v>
      </c>
      <c r="O21" s="2">
        <v>3</v>
      </c>
      <c r="P21" s="2">
        <v>0</v>
      </c>
      <c r="Q21" s="2">
        <v>1</v>
      </c>
      <c r="R21" s="2">
        <v>15</v>
      </c>
      <c r="S21" s="38">
        <v>15</v>
      </c>
      <c r="T21" s="2"/>
      <c r="U21" s="2">
        <v>3</v>
      </c>
      <c r="V21" s="60">
        <f>SUM(Faculty_Clean_Data[[#This Row],[Teaching_Hours]],Faculty_Clean_Data[[#This Row],[Lab_Hours]],Faculty_Clean_Data[[#This Row],[Tutorials_Activity]])</f>
        <v>18</v>
      </c>
      <c r="W21" s="38">
        <v>3</v>
      </c>
      <c r="X21" s="39">
        <v>6</v>
      </c>
      <c r="Y21" s="38">
        <v>6</v>
      </c>
      <c r="Z21" s="38">
        <v>1</v>
      </c>
      <c r="AA21" s="43">
        <f t="shared" si="0"/>
        <v>13</v>
      </c>
      <c r="AB21" s="50">
        <f t="shared" si="1"/>
        <v>34</v>
      </c>
      <c r="AC2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34</v>
      </c>
      <c r="AD21" s="58" t="str">
        <f>IF(Faculty_Clean_Data[[#This Row],[Check_Total]]-Faculty_Clean_Data[[#This Row],[Total_Hours]]&gt;0.5,"Mismatch","OK")</f>
        <v>OK</v>
      </c>
    </row>
    <row r="22" spans="1:30" ht="30" x14ac:dyDescent="0.25">
      <c r="A22" s="20">
        <v>21</v>
      </c>
      <c r="B22" s="1" t="s">
        <v>181</v>
      </c>
      <c r="C22" s="4" t="s">
        <v>33</v>
      </c>
      <c r="D22" s="4" t="s">
        <v>15</v>
      </c>
      <c r="E22" s="4" t="s">
        <v>41</v>
      </c>
      <c r="F22" s="37">
        <v>14.083333333333334</v>
      </c>
      <c r="G22" s="63" t="str">
        <f>IF(Faculty_Clean_Data[[#This Row],[Experience_Years]]&lt;5,"Junior",IF(Faculty_Clean_Data[[#This Row],[Experience_Years]]&gt;=15, "Senior", "Mid"))</f>
        <v>Mid</v>
      </c>
      <c r="H22" s="1" t="s">
        <v>145</v>
      </c>
      <c r="I22" s="1" t="s">
        <v>138</v>
      </c>
      <c r="J22" s="2">
        <v>2</v>
      </c>
      <c r="K2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2" s="2">
        <v>1</v>
      </c>
      <c r="M22" s="2">
        <v>2</v>
      </c>
      <c r="N22" s="2">
        <v>0</v>
      </c>
      <c r="O22" s="2">
        <v>2.5</v>
      </c>
      <c r="P22" s="2">
        <v>0</v>
      </c>
      <c r="Q22" s="2">
        <v>1</v>
      </c>
      <c r="R22" s="2">
        <v>15</v>
      </c>
      <c r="S22" s="38">
        <v>15</v>
      </c>
      <c r="T22" s="2">
        <v>4</v>
      </c>
      <c r="U22" s="2">
        <v>0</v>
      </c>
      <c r="V22" s="60">
        <f>SUM(Faculty_Clean_Data[[#This Row],[Teaching_Hours]],Faculty_Clean_Data[[#This Row],[Lab_Hours]],Faculty_Clean_Data[[#This Row],[Tutorials_Activity]])</f>
        <v>19</v>
      </c>
      <c r="W22" s="38">
        <v>3</v>
      </c>
      <c r="X22" s="39">
        <v>6</v>
      </c>
      <c r="Y22" s="38">
        <v>6</v>
      </c>
      <c r="Z22" s="38">
        <v>1</v>
      </c>
      <c r="AA22" s="43">
        <f t="shared" si="0"/>
        <v>13</v>
      </c>
      <c r="AB22" s="50">
        <f t="shared" si="1"/>
        <v>35</v>
      </c>
      <c r="AC2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35</v>
      </c>
      <c r="AD22" s="58" t="str">
        <f>IF(Faculty_Clean_Data[[#This Row],[Check_Total]]-Faculty_Clean_Data[[#This Row],[Total_Hours]]&gt;0.5,"Mismatch","OK")</f>
        <v>OK</v>
      </c>
    </row>
    <row r="23" spans="1:30" ht="30" x14ac:dyDescent="0.25">
      <c r="A23" s="20">
        <v>22</v>
      </c>
      <c r="B23" s="1" t="s">
        <v>182</v>
      </c>
      <c r="C23" s="4" t="s">
        <v>34</v>
      </c>
      <c r="D23" s="4" t="s">
        <v>15</v>
      </c>
      <c r="E23" s="4" t="s">
        <v>42</v>
      </c>
      <c r="F23" s="37">
        <v>13</v>
      </c>
      <c r="G23" s="63" t="str">
        <f>IF(Faculty_Clean_Data[[#This Row],[Experience_Years]]&lt;5,"Junior",IF(Faculty_Clean_Data[[#This Row],[Experience_Years]]&gt;=15, "Senior", "Mid"))</f>
        <v>Mid</v>
      </c>
      <c r="H23" s="1" t="s">
        <v>145</v>
      </c>
      <c r="I23" s="1" t="s">
        <v>138</v>
      </c>
      <c r="J23" s="2">
        <v>1</v>
      </c>
      <c r="K2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3" s="2">
        <v>1</v>
      </c>
      <c r="M23" s="2">
        <v>1</v>
      </c>
      <c r="N23" s="2">
        <v>0</v>
      </c>
      <c r="O23" s="2">
        <v>1.5</v>
      </c>
      <c r="P23" s="2">
        <v>0</v>
      </c>
      <c r="Q23" s="2">
        <v>1</v>
      </c>
      <c r="R23" s="2">
        <v>6</v>
      </c>
      <c r="S23" s="38">
        <v>6</v>
      </c>
      <c r="T23" s="2">
        <v>6</v>
      </c>
      <c r="U23" s="2">
        <v>2</v>
      </c>
      <c r="V23" s="60">
        <f>SUM(Faculty_Clean_Data[[#This Row],[Teaching_Hours]],Faculty_Clean_Data[[#This Row],[Lab_Hours]],Faculty_Clean_Data[[#This Row],[Tutorials_Activity]])</f>
        <v>14</v>
      </c>
      <c r="W23" s="38">
        <v>3</v>
      </c>
      <c r="X23" s="39">
        <v>3</v>
      </c>
      <c r="Y23" s="38">
        <v>2</v>
      </c>
      <c r="Z23" s="38">
        <v>1</v>
      </c>
      <c r="AA23" s="43">
        <f t="shared" si="0"/>
        <v>6</v>
      </c>
      <c r="AB23" s="50">
        <f t="shared" si="1"/>
        <v>23</v>
      </c>
      <c r="AC2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23</v>
      </c>
      <c r="AD23" s="58" t="str">
        <f>IF(Faculty_Clean_Data[[#This Row],[Check_Total]]-Faculty_Clean_Data[[#This Row],[Total_Hours]]&gt;0.5,"Mismatch","OK")</f>
        <v>OK</v>
      </c>
    </row>
    <row r="24" spans="1:30" ht="30" x14ac:dyDescent="0.25">
      <c r="A24" s="20">
        <v>23</v>
      </c>
      <c r="B24" s="1" t="s">
        <v>183</v>
      </c>
      <c r="C24" s="4" t="s">
        <v>35</v>
      </c>
      <c r="D24" s="4" t="s">
        <v>15</v>
      </c>
      <c r="E24" s="4" t="s">
        <v>41</v>
      </c>
      <c r="F24" s="37">
        <v>10</v>
      </c>
      <c r="G24" s="63" t="str">
        <f>IF(Faculty_Clean_Data[[#This Row],[Experience_Years]]&lt;5,"Junior",IF(Faculty_Clean_Data[[#This Row],[Experience_Years]]&gt;=15, "Senior", "Mid"))</f>
        <v>Mid</v>
      </c>
      <c r="H24" s="1" t="s">
        <v>146</v>
      </c>
      <c r="I24" s="1" t="s">
        <v>138</v>
      </c>
      <c r="J24" s="2">
        <v>2</v>
      </c>
      <c r="K24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24" s="2">
        <v>1</v>
      </c>
      <c r="M24" s="2">
        <v>2</v>
      </c>
      <c r="N24" s="2">
        <v>0</v>
      </c>
      <c r="O24" s="2">
        <v>5</v>
      </c>
      <c r="P24" s="2">
        <v>0</v>
      </c>
      <c r="Q24" s="2">
        <v>0</v>
      </c>
      <c r="R24" s="2">
        <v>21</v>
      </c>
      <c r="S24" s="38">
        <v>21</v>
      </c>
      <c r="T24" s="2">
        <v>0</v>
      </c>
      <c r="U24" s="2">
        <v>0</v>
      </c>
      <c r="V24" s="60">
        <f>SUM(Faculty_Clean_Data[[#This Row],[Teaching_Hours]],Faculty_Clean_Data[[#This Row],[Lab_Hours]],Faculty_Clean_Data[[#This Row],[Tutorials_Activity]])</f>
        <v>21</v>
      </c>
      <c r="W24" s="38">
        <v>3</v>
      </c>
      <c r="X24" s="39">
        <v>3</v>
      </c>
      <c r="Y24" s="38">
        <v>2</v>
      </c>
      <c r="Z24" s="38">
        <v>1</v>
      </c>
      <c r="AA24" s="43">
        <f t="shared" si="0"/>
        <v>6</v>
      </c>
      <c r="AB24" s="50">
        <f t="shared" si="1"/>
        <v>30</v>
      </c>
      <c r="AC2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30</v>
      </c>
      <c r="AD24" s="58" t="str">
        <f>IF(Faculty_Clean_Data[[#This Row],[Check_Total]]-Faculty_Clean_Data[[#This Row],[Total_Hours]]&gt;0.5,"Mismatch","OK")</f>
        <v>OK</v>
      </c>
    </row>
    <row r="25" spans="1:30" ht="30" x14ac:dyDescent="0.25">
      <c r="A25" s="20">
        <v>24</v>
      </c>
      <c r="B25" s="1" t="s">
        <v>184</v>
      </c>
      <c r="C25" s="4" t="s">
        <v>36</v>
      </c>
      <c r="D25" s="4" t="s">
        <v>18</v>
      </c>
      <c r="E25" s="4" t="s">
        <v>40</v>
      </c>
      <c r="F25" s="37">
        <v>12</v>
      </c>
      <c r="G25" s="63" t="str">
        <f>IF(Faculty_Clean_Data[[#This Row],[Experience_Years]]&lt;5,"Junior",IF(Faculty_Clean_Data[[#This Row],[Experience_Years]]&gt;=15, "Senior", "Mid"))</f>
        <v>Mid</v>
      </c>
      <c r="H25" s="1" t="s">
        <v>145</v>
      </c>
      <c r="I25" s="1" t="s">
        <v>149</v>
      </c>
      <c r="J25" s="2">
        <v>1</v>
      </c>
      <c r="K2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5" s="2">
        <v>1</v>
      </c>
      <c r="M25" s="2">
        <v>1</v>
      </c>
      <c r="N25" s="2">
        <v>0</v>
      </c>
      <c r="O25" s="2">
        <v>1.5</v>
      </c>
      <c r="P25" s="2">
        <v>0</v>
      </c>
      <c r="Q25" s="2">
        <v>1</v>
      </c>
      <c r="R25" s="2">
        <v>6</v>
      </c>
      <c r="S25" s="38">
        <v>6</v>
      </c>
      <c r="T25" s="2">
        <v>6</v>
      </c>
      <c r="U25" s="2">
        <v>2</v>
      </c>
      <c r="V25" s="60">
        <f>SUM(Faculty_Clean_Data[[#This Row],[Teaching_Hours]],Faculty_Clean_Data[[#This Row],[Lab_Hours]],Faculty_Clean_Data[[#This Row],[Tutorials_Activity]])</f>
        <v>14</v>
      </c>
      <c r="W25" s="38">
        <v>1</v>
      </c>
      <c r="X25" s="39">
        <v>2</v>
      </c>
      <c r="Y25" s="38">
        <v>2</v>
      </c>
      <c r="Z25" s="38">
        <v>1</v>
      </c>
      <c r="AA25" s="43">
        <f t="shared" si="0"/>
        <v>5</v>
      </c>
      <c r="AB25" s="50">
        <f t="shared" si="1"/>
        <v>20</v>
      </c>
      <c r="AC2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</v>
      </c>
      <c r="AD25" s="58" t="str">
        <f>IF(Faculty_Clean_Data[[#This Row],[Check_Total]]-Faculty_Clean_Data[[#This Row],[Total_Hours]]&gt;0.5,"Mismatch","OK")</f>
        <v>OK</v>
      </c>
    </row>
    <row r="26" spans="1:30" ht="30" x14ac:dyDescent="0.25">
      <c r="A26" s="20">
        <v>25</v>
      </c>
      <c r="B26" s="1" t="s">
        <v>185</v>
      </c>
      <c r="C26" s="1" t="s">
        <v>115</v>
      </c>
      <c r="D26" s="17" t="s">
        <v>18</v>
      </c>
      <c r="E26" s="1" t="s">
        <v>118</v>
      </c>
      <c r="F26" s="38">
        <v>4.333333333333333</v>
      </c>
      <c r="G26" s="64" t="str">
        <f>IF(Faculty_Clean_Data[[#This Row],[Experience_Years]]&lt;5,"Junior",IF(Faculty_Clean_Data[[#This Row],[Experience_Years]]&gt;=15, "Senior", "Mid"))</f>
        <v>Junior</v>
      </c>
      <c r="H26" s="1" t="s">
        <v>145</v>
      </c>
      <c r="I26" s="1" t="s">
        <v>126</v>
      </c>
      <c r="J26" s="2">
        <v>2</v>
      </c>
      <c r="K26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26" s="2">
        <v>1</v>
      </c>
      <c r="M26" s="2">
        <v>2</v>
      </c>
      <c r="N26" s="2">
        <v>0</v>
      </c>
      <c r="O26" s="2">
        <v>6</v>
      </c>
      <c r="P26" s="2">
        <v>0</v>
      </c>
      <c r="Q26" s="2">
        <v>1</v>
      </c>
      <c r="R26" s="2">
        <v>22</v>
      </c>
      <c r="S26" s="38">
        <v>24</v>
      </c>
      <c r="T26" s="2">
        <v>0</v>
      </c>
      <c r="U26" s="2">
        <v>0</v>
      </c>
      <c r="V26" s="60">
        <f>SUM(Faculty_Clean_Data[[#This Row],[Teaching_Hours]],Faculty_Clean_Data[[#This Row],[Lab_Hours]],Faculty_Clean_Data[[#This Row],[Tutorials_Activity]])</f>
        <v>24</v>
      </c>
      <c r="W26" s="38">
        <v>1</v>
      </c>
      <c r="X26" s="39">
        <v>2</v>
      </c>
      <c r="Y26" s="38">
        <v>2</v>
      </c>
      <c r="Z26" s="38">
        <v>1</v>
      </c>
      <c r="AA26" s="43">
        <f t="shared" si="0"/>
        <v>5</v>
      </c>
      <c r="AB26" s="50">
        <f t="shared" si="1"/>
        <v>30</v>
      </c>
      <c r="AC2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30</v>
      </c>
      <c r="AD26" s="58" t="str">
        <f>IF(Faculty_Clean_Data[[#This Row],[Check_Total]]-Faculty_Clean_Data[[#This Row],[Total_Hours]]&gt;0.5,"Mismatch","OK")</f>
        <v>OK</v>
      </c>
    </row>
    <row r="27" spans="1:30" ht="30" x14ac:dyDescent="0.25">
      <c r="A27" s="20">
        <v>26</v>
      </c>
      <c r="B27" s="1" t="s">
        <v>186</v>
      </c>
      <c r="C27" s="1" t="s">
        <v>116</v>
      </c>
      <c r="D27" s="17" t="s">
        <v>18</v>
      </c>
      <c r="E27" s="1" t="s">
        <v>114</v>
      </c>
      <c r="F27" s="38">
        <v>7</v>
      </c>
      <c r="G27" s="64" t="str">
        <f>IF(Faculty_Clean_Data[[#This Row],[Experience_Years]]&lt;5,"Junior",IF(Faculty_Clean_Data[[#This Row],[Experience_Years]]&gt;=15, "Senior", "Mid"))</f>
        <v>Mid</v>
      </c>
      <c r="H27" s="1" t="s">
        <v>146</v>
      </c>
      <c r="I27" s="1" t="s">
        <v>131</v>
      </c>
      <c r="J27" s="2">
        <v>1</v>
      </c>
      <c r="K2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7" s="2">
        <v>0</v>
      </c>
      <c r="M27" s="2">
        <v>0</v>
      </c>
      <c r="N27" s="2">
        <v>1</v>
      </c>
      <c r="O27" s="2">
        <v>1</v>
      </c>
      <c r="P27" s="2">
        <v>0</v>
      </c>
      <c r="Q27" s="2">
        <v>1</v>
      </c>
      <c r="R27" s="2">
        <v>5</v>
      </c>
      <c r="S27" s="38">
        <v>5</v>
      </c>
      <c r="T27" s="2">
        <v>3</v>
      </c>
      <c r="U27" s="2">
        <v>1</v>
      </c>
      <c r="V27" s="60">
        <f>SUM(Faculty_Clean_Data[[#This Row],[Teaching_Hours]],Faculty_Clean_Data[[#This Row],[Lab_Hours]],Faculty_Clean_Data[[#This Row],[Tutorials_Activity]])</f>
        <v>9</v>
      </c>
      <c r="W27" s="38">
        <v>1</v>
      </c>
      <c r="X27" s="39">
        <v>2</v>
      </c>
      <c r="Y27" s="38">
        <v>2</v>
      </c>
      <c r="Z27" s="38">
        <v>1</v>
      </c>
      <c r="AA27" s="43">
        <f t="shared" si="0"/>
        <v>5</v>
      </c>
      <c r="AB27" s="50">
        <f t="shared" si="1"/>
        <v>15</v>
      </c>
      <c r="AC2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15</v>
      </c>
      <c r="AD27" s="58" t="str">
        <f>IF(Faculty_Clean_Data[[#This Row],[Check_Total]]-Faculty_Clean_Data[[#This Row],[Total_Hours]]&gt;0.5,"Mismatch","OK")</f>
        <v>OK</v>
      </c>
    </row>
    <row r="28" spans="1:30" ht="30" x14ac:dyDescent="0.25">
      <c r="A28" s="20">
        <v>27</v>
      </c>
      <c r="B28" s="1" t="s">
        <v>187</v>
      </c>
      <c r="C28" s="1" t="s">
        <v>117</v>
      </c>
      <c r="D28" s="17" t="s">
        <v>18</v>
      </c>
      <c r="E28" s="1" t="s">
        <v>114</v>
      </c>
      <c r="F28" s="38">
        <v>9.75</v>
      </c>
      <c r="G28" s="64" t="str">
        <f>IF(Faculty_Clean_Data[[#This Row],[Experience_Years]]&lt;5,"Junior",IF(Faculty_Clean_Data[[#This Row],[Experience_Years]]&gt;=15, "Senior", "Mid"))</f>
        <v>Mid</v>
      </c>
      <c r="H28" s="1" t="s">
        <v>146</v>
      </c>
      <c r="I28" s="1" t="s">
        <v>148</v>
      </c>
      <c r="J28" s="2">
        <v>1</v>
      </c>
      <c r="K2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28" s="2">
        <v>0</v>
      </c>
      <c r="M28" s="2">
        <v>1</v>
      </c>
      <c r="N28" s="2">
        <v>0</v>
      </c>
      <c r="O28" s="2">
        <v>1</v>
      </c>
      <c r="P28" s="2">
        <v>0</v>
      </c>
      <c r="Q28" s="2">
        <v>1</v>
      </c>
      <c r="R28" s="2">
        <v>5</v>
      </c>
      <c r="S28" s="38">
        <v>5</v>
      </c>
      <c r="T28" s="2"/>
      <c r="U28" s="2">
        <v>2</v>
      </c>
      <c r="V28" s="60">
        <f>SUM(Faculty_Clean_Data[[#This Row],[Teaching_Hours]],Faculty_Clean_Data[[#This Row],[Lab_Hours]],Faculty_Clean_Data[[#This Row],[Tutorials_Activity]])</f>
        <v>7</v>
      </c>
      <c r="W28" s="38">
        <v>1</v>
      </c>
      <c r="X28" s="39">
        <v>4</v>
      </c>
      <c r="Y28" s="38">
        <v>2</v>
      </c>
      <c r="Z28" s="38">
        <v>1</v>
      </c>
      <c r="AA28" s="43">
        <f t="shared" si="0"/>
        <v>7</v>
      </c>
      <c r="AB28" s="50">
        <f t="shared" si="1"/>
        <v>15</v>
      </c>
      <c r="AC2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15</v>
      </c>
      <c r="AD28" s="58" t="str">
        <f>IF(Faculty_Clean_Data[[#This Row],[Check_Total]]-Faculty_Clean_Data[[#This Row],[Total_Hours]]&gt;0.5,"Mismatch","OK")</f>
        <v>OK</v>
      </c>
    </row>
    <row r="29" spans="1:30" ht="30" x14ac:dyDescent="0.25">
      <c r="A29" s="20">
        <v>28</v>
      </c>
      <c r="B29" s="1" t="s">
        <v>188</v>
      </c>
      <c r="C29" s="1" t="s">
        <v>159</v>
      </c>
      <c r="D29" s="17" t="s">
        <v>18</v>
      </c>
      <c r="E29" s="1" t="s">
        <v>118</v>
      </c>
      <c r="F29" s="38">
        <v>7.25</v>
      </c>
      <c r="G29" s="64" t="str">
        <f>IF(Faculty_Clean_Data[[#This Row],[Experience_Years]]&lt;5,"Junior",IF(Faculty_Clean_Data[[#This Row],[Experience_Years]]&gt;=15, "Senior", "Mid"))</f>
        <v>Mid</v>
      </c>
      <c r="H29" s="1" t="s">
        <v>146</v>
      </c>
      <c r="I29" s="1" t="s">
        <v>126</v>
      </c>
      <c r="J29" s="2">
        <v>2</v>
      </c>
      <c r="K29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29" s="2">
        <v>1</v>
      </c>
      <c r="M29" s="2">
        <v>2</v>
      </c>
      <c r="N29" s="2">
        <v>0</v>
      </c>
      <c r="O29" s="2">
        <v>6</v>
      </c>
      <c r="P29" s="2">
        <v>0</v>
      </c>
      <c r="Q29" s="2">
        <v>1</v>
      </c>
      <c r="R29" s="2">
        <v>22</v>
      </c>
      <c r="S29" s="38">
        <v>24</v>
      </c>
      <c r="T29" s="2">
        <v>0</v>
      </c>
      <c r="U29" s="2">
        <v>0</v>
      </c>
      <c r="V29" s="60">
        <f>SUM(Faculty_Clean_Data[[#This Row],[Teaching_Hours]],Faculty_Clean_Data[[#This Row],[Lab_Hours]],Faculty_Clean_Data[[#This Row],[Tutorials_Activity]])</f>
        <v>24</v>
      </c>
      <c r="W29" s="38">
        <v>1</v>
      </c>
      <c r="X29" s="39">
        <v>2</v>
      </c>
      <c r="Y29" s="38">
        <v>2</v>
      </c>
      <c r="Z29" s="38">
        <v>1</v>
      </c>
      <c r="AA29" s="43">
        <f t="shared" si="0"/>
        <v>5</v>
      </c>
      <c r="AB29" s="50">
        <f t="shared" si="1"/>
        <v>30</v>
      </c>
      <c r="AC2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30</v>
      </c>
      <c r="AD29" s="58" t="str">
        <f>IF(Faculty_Clean_Data[[#This Row],[Check_Total]]-Faculty_Clean_Data[[#This Row],[Total_Hours]]&gt;0.5,"Mismatch","OK")</f>
        <v>OK</v>
      </c>
    </row>
    <row r="30" spans="1:30" ht="30" x14ac:dyDescent="0.25">
      <c r="A30" s="20">
        <v>29</v>
      </c>
      <c r="B30" s="1" t="s">
        <v>189</v>
      </c>
      <c r="C30" s="1" t="s">
        <v>43</v>
      </c>
      <c r="D30" s="17" t="s">
        <v>18</v>
      </c>
      <c r="E30" s="1" t="s">
        <v>58</v>
      </c>
      <c r="F30" s="38">
        <v>7.5</v>
      </c>
      <c r="G30" s="64" t="str">
        <f>IF(Faculty_Clean_Data[[#This Row],[Experience_Years]]&lt;5,"Junior",IF(Faculty_Clean_Data[[#This Row],[Experience_Years]]&gt;=15, "Senior", "Mid"))</f>
        <v>Mid</v>
      </c>
      <c r="H30" s="1" t="s">
        <v>146</v>
      </c>
      <c r="I30" s="1" t="s">
        <v>131</v>
      </c>
      <c r="J30" s="2">
        <v>2</v>
      </c>
      <c r="K3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0" s="2">
        <v>0</v>
      </c>
      <c r="M30" s="2">
        <v>0</v>
      </c>
      <c r="N30" s="2">
        <v>2</v>
      </c>
      <c r="O30" s="2">
        <v>2</v>
      </c>
      <c r="P30" s="2">
        <v>0</v>
      </c>
      <c r="Q30" s="2">
        <v>1</v>
      </c>
      <c r="R30" s="2">
        <v>10</v>
      </c>
      <c r="S30" s="38">
        <v>10</v>
      </c>
      <c r="T30" s="2">
        <v>6</v>
      </c>
      <c r="U30" s="2">
        <v>2</v>
      </c>
      <c r="V30" s="60">
        <f>SUM(Faculty_Clean_Data[[#This Row],[Teaching_Hours]],Faculty_Clean_Data[[#This Row],[Lab_Hours]],Faculty_Clean_Data[[#This Row],[Tutorials_Activity]])</f>
        <v>18</v>
      </c>
      <c r="W30" s="38">
        <v>1</v>
      </c>
      <c r="X30" s="39">
        <v>2</v>
      </c>
      <c r="Y30" s="38">
        <v>2</v>
      </c>
      <c r="Z30" s="38">
        <v>1</v>
      </c>
      <c r="AA30" s="43">
        <f t="shared" si="0"/>
        <v>5</v>
      </c>
      <c r="AB30" s="50">
        <f t="shared" si="1"/>
        <v>24</v>
      </c>
      <c r="AC3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30" s="58" t="str">
        <f>IF(Faculty_Clean_Data[[#This Row],[Check_Total]]-Faculty_Clean_Data[[#This Row],[Total_Hours]]&gt;0.5,"Mismatch","OK")</f>
        <v>OK</v>
      </c>
    </row>
    <row r="31" spans="1:30" ht="30" x14ac:dyDescent="0.25">
      <c r="A31" s="20">
        <v>30</v>
      </c>
      <c r="B31" s="1" t="s">
        <v>190</v>
      </c>
      <c r="C31" s="1" t="s">
        <v>158</v>
      </c>
      <c r="D31" s="17" t="s">
        <v>18</v>
      </c>
      <c r="E31" s="1" t="s">
        <v>114</v>
      </c>
      <c r="F31" s="38">
        <v>2.5833333333333335</v>
      </c>
      <c r="G31" s="64" t="str">
        <f>IF(Faculty_Clean_Data[[#This Row],[Experience_Years]]&lt;5,"Junior",IF(Faculty_Clean_Data[[#This Row],[Experience_Years]]&gt;=15, "Senior", "Mid"))</f>
        <v>Junior</v>
      </c>
      <c r="H31" s="1" t="s">
        <v>146</v>
      </c>
      <c r="I31" s="1" t="s">
        <v>150</v>
      </c>
      <c r="J31" s="2">
        <v>1</v>
      </c>
      <c r="K3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1" s="2">
        <v>1</v>
      </c>
      <c r="M31" s="2">
        <v>1</v>
      </c>
      <c r="N31" s="2">
        <v>0</v>
      </c>
      <c r="O31" s="2">
        <v>3</v>
      </c>
      <c r="P31" s="2">
        <v>1</v>
      </c>
      <c r="Q31" s="2">
        <v>0</v>
      </c>
      <c r="R31" s="2">
        <v>15</v>
      </c>
      <c r="S31" s="38">
        <v>15</v>
      </c>
      <c r="T31" s="2"/>
      <c r="U31" s="2">
        <v>3</v>
      </c>
      <c r="V31" s="60">
        <f>SUM(Faculty_Clean_Data[[#This Row],[Teaching_Hours]],Faculty_Clean_Data[[#This Row],[Lab_Hours]],Faculty_Clean_Data[[#This Row],[Tutorials_Activity]])</f>
        <v>18</v>
      </c>
      <c r="W31" s="38">
        <v>1</v>
      </c>
      <c r="X31" s="39">
        <v>2</v>
      </c>
      <c r="Y31" s="38">
        <v>2</v>
      </c>
      <c r="Z31" s="38">
        <v>1</v>
      </c>
      <c r="AA31" s="43">
        <f t="shared" si="0"/>
        <v>5</v>
      </c>
      <c r="AB31" s="50">
        <f t="shared" si="1"/>
        <v>24</v>
      </c>
      <c r="AC3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31" s="58" t="str">
        <f>IF(Faculty_Clean_Data[[#This Row],[Check_Total]]-Faculty_Clean_Data[[#This Row],[Total_Hours]]&gt;0.5,"Mismatch","OK")</f>
        <v>OK</v>
      </c>
    </row>
    <row r="32" spans="1:30" ht="30" x14ac:dyDescent="0.25">
      <c r="A32" s="20">
        <v>31</v>
      </c>
      <c r="B32" s="1" t="s">
        <v>191</v>
      </c>
      <c r="C32" s="1" t="s">
        <v>44</v>
      </c>
      <c r="D32" s="17" t="s">
        <v>18</v>
      </c>
      <c r="E32" s="1" t="s">
        <v>41</v>
      </c>
      <c r="F32" s="38">
        <v>3.5833333333333335</v>
      </c>
      <c r="G32" s="64" t="str">
        <f>IF(Faculty_Clean_Data[[#This Row],[Experience_Years]]&lt;5,"Junior",IF(Faculty_Clean_Data[[#This Row],[Experience_Years]]&gt;=15, "Senior", "Mid"))</f>
        <v>Junior</v>
      </c>
      <c r="H32" s="1" t="s">
        <v>146</v>
      </c>
      <c r="I32" s="1" t="s">
        <v>148</v>
      </c>
      <c r="J32" s="2">
        <v>2</v>
      </c>
      <c r="K3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2" s="2">
        <v>1</v>
      </c>
      <c r="M32" s="2">
        <v>1</v>
      </c>
      <c r="N32" s="2">
        <v>1</v>
      </c>
      <c r="O32" s="2">
        <v>2</v>
      </c>
      <c r="P32" s="2">
        <v>0</v>
      </c>
      <c r="Q32" s="2">
        <v>1</v>
      </c>
      <c r="R32" s="2">
        <v>15</v>
      </c>
      <c r="S32" s="38">
        <v>15</v>
      </c>
      <c r="T32" s="2"/>
      <c r="U32" s="2">
        <v>3</v>
      </c>
      <c r="V32" s="60">
        <f>SUM(Faculty_Clean_Data[[#This Row],[Teaching_Hours]],Faculty_Clean_Data[[#This Row],[Lab_Hours]],Faculty_Clean_Data[[#This Row],[Tutorials_Activity]])</f>
        <v>18</v>
      </c>
      <c r="W32" s="38">
        <v>1</v>
      </c>
      <c r="X32" s="39">
        <v>6</v>
      </c>
      <c r="Y32" s="38">
        <v>2</v>
      </c>
      <c r="Z32" s="38">
        <v>1</v>
      </c>
      <c r="AA32" s="43">
        <f t="shared" si="0"/>
        <v>9</v>
      </c>
      <c r="AB32" s="50">
        <f t="shared" si="1"/>
        <v>28</v>
      </c>
      <c r="AC3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28</v>
      </c>
      <c r="AD32" s="58" t="str">
        <f>IF(Faculty_Clean_Data[[#This Row],[Check_Total]]-Faculty_Clean_Data[[#This Row],[Total_Hours]]&gt;0.5,"Mismatch","OK")</f>
        <v>OK</v>
      </c>
    </row>
    <row r="33" spans="1:30" ht="30" x14ac:dyDescent="0.25">
      <c r="A33" s="20">
        <v>32</v>
      </c>
      <c r="B33" s="1" t="s">
        <v>192</v>
      </c>
      <c r="C33" s="1" t="s">
        <v>45</v>
      </c>
      <c r="D33" s="17" t="s">
        <v>18</v>
      </c>
      <c r="E33" s="1" t="s">
        <v>39</v>
      </c>
      <c r="F33" s="38">
        <v>9</v>
      </c>
      <c r="G33" s="64" t="str">
        <f>IF(Faculty_Clean_Data[[#This Row],[Experience_Years]]&lt;5,"Junior",IF(Faculty_Clean_Data[[#This Row],[Experience_Years]]&gt;=15, "Senior", "Mid"))</f>
        <v>Mid</v>
      </c>
      <c r="H33" s="1" t="s">
        <v>146</v>
      </c>
      <c r="I33" s="1" t="s">
        <v>147</v>
      </c>
      <c r="J33" s="2">
        <v>1</v>
      </c>
      <c r="K3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3" s="2">
        <v>1</v>
      </c>
      <c r="M33" s="2">
        <v>1</v>
      </c>
      <c r="N33" s="2">
        <v>0</v>
      </c>
      <c r="O33" s="2">
        <v>4</v>
      </c>
      <c r="P33" s="2">
        <v>0</v>
      </c>
      <c r="Q33" s="2">
        <v>1</v>
      </c>
      <c r="R33" s="2">
        <v>17</v>
      </c>
      <c r="S33" s="38">
        <v>17</v>
      </c>
      <c r="T33" s="2"/>
      <c r="U33" s="2"/>
      <c r="V33" s="60">
        <f>SUM(Faculty_Clean_Data[[#This Row],[Teaching_Hours]],Faculty_Clean_Data[[#This Row],[Lab_Hours]],Faculty_Clean_Data[[#This Row],[Tutorials_Activity]])</f>
        <v>17</v>
      </c>
      <c r="W33" s="38">
        <v>1</v>
      </c>
      <c r="X33" s="39">
        <v>2</v>
      </c>
      <c r="Y33" s="38">
        <v>2</v>
      </c>
      <c r="Z33" s="38">
        <v>1</v>
      </c>
      <c r="AA33" s="43">
        <f t="shared" si="0"/>
        <v>5</v>
      </c>
      <c r="AB33" s="50">
        <f t="shared" si="1"/>
        <v>23</v>
      </c>
      <c r="AC3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23</v>
      </c>
      <c r="AD33" s="58" t="str">
        <f>IF(Faculty_Clean_Data[[#This Row],[Check_Total]]-Faculty_Clean_Data[[#This Row],[Total_Hours]]&gt;0.5,"Mismatch","OK")</f>
        <v>OK</v>
      </c>
    </row>
    <row r="34" spans="1:30" ht="30" x14ac:dyDescent="0.25">
      <c r="A34" s="20">
        <v>33</v>
      </c>
      <c r="B34" s="1" t="s">
        <v>193</v>
      </c>
      <c r="C34" s="1" t="s">
        <v>46</v>
      </c>
      <c r="D34" s="17" t="s">
        <v>18</v>
      </c>
      <c r="E34" s="1" t="s">
        <v>41</v>
      </c>
      <c r="F34" s="38">
        <v>26.916666666666668</v>
      </c>
      <c r="G34" s="64" t="str">
        <f>IF(Faculty_Clean_Data[[#This Row],[Experience_Years]]&lt;5,"Junior",IF(Faculty_Clean_Data[[#This Row],[Experience_Years]]&gt;=15, "Senior", "Mid"))</f>
        <v>Senior</v>
      </c>
      <c r="H34" s="1" t="s">
        <v>146</v>
      </c>
      <c r="I34" s="1" t="s">
        <v>135</v>
      </c>
      <c r="J34" s="2">
        <v>4</v>
      </c>
      <c r="K3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4" s="2">
        <v>0</v>
      </c>
      <c r="M34" s="2">
        <v>1</v>
      </c>
      <c r="N34" s="2">
        <v>3</v>
      </c>
      <c r="O34" s="2">
        <v>2.5</v>
      </c>
      <c r="P34" s="2">
        <v>0</v>
      </c>
      <c r="Q34" s="2">
        <v>1</v>
      </c>
      <c r="R34" s="2">
        <v>20</v>
      </c>
      <c r="S34" s="38">
        <v>20</v>
      </c>
      <c r="T34" s="2">
        <v>6</v>
      </c>
      <c r="U34" s="2">
        <v>0</v>
      </c>
      <c r="V34" s="60">
        <f>SUM(Faculty_Clean_Data[[#This Row],[Teaching_Hours]],Faculty_Clean_Data[[#This Row],[Lab_Hours]],Faculty_Clean_Data[[#This Row],[Tutorials_Activity]])</f>
        <v>26</v>
      </c>
      <c r="W34" s="38">
        <v>1</v>
      </c>
      <c r="X34" s="39">
        <v>4</v>
      </c>
      <c r="Y34" s="38">
        <v>2</v>
      </c>
      <c r="Z34" s="38">
        <v>1</v>
      </c>
      <c r="AA34" s="43">
        <f t="shared" si="0"/>
        <v>7</v>
      </c>
      <c r="AB34" s="50">
        <f t="shared" si="1"/>
        <v>34</v>
      </c>
      <c r="AC3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34</v>
      </c>
      <c r="AD34" s="58" t="str">
        <f>IF(Faculty_Clean_Data[[#This Row],[Check_Total]]-Faculty_Clean_Data[[#This Row],[Total_Hours]]&gt;0.5,"Mismatch","OK")</f>
        <v>OK</v>
      </c>
    </row>
    <row r="35" spans="1:30" ht="30" x14ac:dyDescent="0.25">
      <c r="A35" s="20">
        <v>34</v>
      </c>
      <c r="B35" s="1" t="s">
        <v>194</v>
      </c>
      <c r="C35" s="1" t="s">
        <v>47</v>
      </c>
      <c r="D35" s="17" t="s">
        <v>18</v>
      </c>
      <c r="E35" s="1" t="s">
        <v>41</v>
      </c>
      <c r="F35" s="38">
        <v>6.083333333333333</v>
      </c>
      <c r="G35" s="64" t="str">
        <f>IF(Faculty_Clean_Data[[#This Row],[Experience_Years]]&lt;5,"Junior",IF(Faculty_Clean_Data[[#This Row],[Experience_Years]]&gt;=15, "Senior", "Mid"))</f>
        <v>Mid</v>
      </c>
      <c r="H35" s="1" t="s">
        <v>146</v>
      </c>
      <c r="I35" s="1" t="s">
        <v>150</v>
      </c>
      <c r="J35" s="2">
        <v>1</v>
      </c>
      <c r="K3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5" s="2">
        <v>1</v>
      </c>
      <c r="M35" s="2">
        <v>1</v>
      </c>
      <c r="N35" s="2">
        <v>0</v>
      </c>
      <c r="O35" s="2">
        <v>3</v>
      </c>
      <c r="P35" s="2">
        <v>0</v>
      </c>
      <c r="Q35" s="2">
        <v>1</v>
      </c>
      <c r="R35" s="2">
        <v>15</v>
      </c>
      <c r="S35" s="38">
        <v>15</v>
      </c>
      <c r="T35" s="2"/>
      <c r="U35" s="2">
        <v>3</v>
      </c>
      <c r="V35" s="60">
        <f>SUM(Faculty_Clean_Data[[#This Row],[Teaching_Hours]],Faculty_Clean_Data[[#This Row],[Lab_Hours]],Faculty_Clean_Data[[#This Row],[Tutorials_Activity]])</f>
        <v>18</v>
      </c>
      <c r="W35" s="38">
        <v>1</v>
      </c>
      <c r="X35" s="39">
        <v>2</v>
      </c>
      <c r="Y35" s="38">
        <v>2</v>
      </c>
      <c r="Z35" s="38">
        <v>1</v>
      </c>
      <c r="AA35" s="43">
        <f t="shared" si="0"/>
        <v>5</v>
      </c>
      <c r="AB35" s="50">
        <f t="shared" si="1"/>
        <v>24</v>
      </c>
      <c r="AC3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35" s="58" t="str">
        <f>IF(Faculty_Clean_Data[[#This Row],[Check_Total]]-Faculty_Clean_Data[[#This Row],[Total_Hours]]&gt;0.5,"Mismatch","OK")</f>
        <v>OK</v>
      </c>
    </row>
    <row r="36" spans="1:30" ht="30" x14ac:dyDescent="0.25">
      <c r="A36" s="20">
        <v>35</v>
      </c>
      <c r="B36" s="1" t="s">
        <v>195</v>
      </c>
      <c r="C36" s="1" t="s">
        <v>48</v>
      </c>
      <c r="D36" s="17" t="s">
        <v>18</v>
      </c>
      <c r="E36" s="1" t="s">
        <v>42</v>
      </c>
      <c r="F36" s="38">
        <v>5.666666666666667</v>
      </c>
      <c r="G36" s="64" t="str">
        <f>IF(Faculty_Clean_Data[[#This Row],[Experience_Years]]&lt;5,"Junior",IF(Faculty_Clean_Data[[#This Row],[Experience_Years]]&gt;=15, "Senior", "Mid"))</f>
        <v>Mid</v>
      </c>
      <c r="H36" s="1" t="s">
        <v>146</v>
      </c>
      <c r="I36" s="1" t="s">
        <v>138</v>
      </c>
      <c r="J36" s="2">
        <v>2</v>
      </c>
      <c r="K36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36" s="2">
        <v>1</v>
      </c>
      <c r="M36" s="2">
        <v>2</v>
      </c>
      <c r="N36" s="2">
        <v>0</v>
      </c>
      <c r="O36" s="2">
        <v>4</v>
      </c>
      <c r="P36" s="2">
        <v>0</v>
      </c>
      <c r="Q36" s="2">
        <v>1</v>
      </c>
      <c r="R36" s="2">
        <v>15</v>
      </c>
      <c r="S36" s="38">
        <v>15</v>
      </c>
      <c r="T36" s="2">
        <v>6</v>
      </c>
      <c r="U36" s="2">
        <v>0</v>
      </c>
      <c r="V36" s="60">
        <f>SUM(Faculty_Clean_Data[[#This Row],[Teaching_Hours]],Faculty_Clean_Data[[#This Row],[Lab_Hours]],Faculty_Clean_Data[[#This Row],[Tutorials_Activity]])</f>
        <v>21</v>
      </c>
      <c r="W36" s="38">
        <v>1</v>
      </c>
      <c r="X36" s="39">
        <v>2</v>
      </c>
      <c r="Y36" s="38">
        <v>2</v>
      </c>
      <c r="Z36" s="38">
        <v>1</v>
      </c>
      <c r="AA36" s="43">
        <f t="shared" si="0"/>
        <v>5</v>
      </c>
      <c r="AB36" s="50">
        <f t="shared" si="1"/>
        <v>27</v>
      </c>
      <c r="AC3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27</v>
      </c>
      <c r="AD36" s="58" t="str">
        <f>IF(Faculty_Clean_Data[[#This Row],[Check_Total]]-Faculty_Clean_Data[[#This Row],[Total_Hours]]&gt;0.5,"Mismatch","OK")</f>
        <v>OK</v>
      </c>
    </row>
    <row r="37" spans="1:30" ht="30" x14ac:dyDescent="0.25">
      <c r="A37" s="20">
        <v>36</v>
      </c>
      <c r="B37" s="1" t="s">
        <v>196</v>
      </c>
      <c r="C37" s="1" t="s">
        <v>49</v>
      </c>
      <c r="D37" s="17" t="s">
        <v>18</v>
      </c>
      <c r="E37" s="1" t="s">
        <v>40</v>
      </c>
      <c r="F37" s="38">
        <v>15.333333333333334</v>
      </c>
      <c r="G37" s="64" t="str">
        <f>IF(Faculty_Clean_Data[[#This Row],[Experience_Years]]&lt;5,"Junior",IF(Faculty_Clean_Data[[#This Row],[Experience_Years]]&gt;=15, "Senior", "Mid"))</f>
        <v>Senior</v>
      </c>
      <c r="H37" s="1" t="s">
        <v>145</v>
      </c>
      <c r="I37" s="1" t="s">
        <v>149</v>
      </c>
      <c r="J37" s="2">
        <v>2</v>
      </c>
      <c r="K37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37" s="2">
        <v>1</v>
      </c>
      <c r="M37" s="2">
        <v>2</v>
      </c>
      <c r="N37" s="2">
        <v>0</v>
      </c>
      <c r="O37" s="2">
        <v>3</v>
      </c>
      <c r="P37" s="2">
        <v>0</v>
      </c>
      <c r="Q37" s="2">
        <v>1</v>
      </c>
      <c r="R37" s="2">
        <v>20</v>
      </c>
      <c r="S37" s="38">
        <v>20</v>
      </c>
      <c r="T37" s="2">
        <v>0</v>
      </c>
      <c r="U37" s="2">
        <v>2</v>
      </c>
      <c r="V37" s="60">
        <f>SUM(Faculty_Clean_Data[[#This Row],[Teaching_Hours]],Faculty_Clean_Data[[#This Row],[Lab_Hours]],Faculty_Clean_Data[[#This Row],[Tutorials_Activity]])</f>
        <v>22</v>
      </c>
      <c r="W37" s="38">
        <v>1</v>
      </c>
      <c r="X37" s="39">
        <v>5</v>
      </c>
      <c r="Y37" s="38">
        <v>2</v>
      </c>
      <c r="Z37" s="38">
        <v>1</v>
      </c>
      <c r="AA37" s="43">
        <f t="shared" si="0"/>
        <v>8</v>
      </c>
      <c r="AB37" s="50">
        <f t="shared" si="1"/>
        <v>31</v>
      </c>
      <c r="AC3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31</v>
      </c>
      <c r="AD37" s="58" t="str">
        <f>IF(Faculty_Clean_Data[[#This Row],[Check_Total]]-Faculty_Clean_Data[[#This Row],[Total_Hours]]&gt;0.5,"Mismatch","OK")</f>
        <v>OK</v>
      </c>
    </row>
    <row r="38" spans="1:30" ht="30" x14ac:dyDescent="0.25">
      <c r="A38" s="20">
        <v>37</v>
      </c>
      <c r="B38" s="1" t="s">
        <v>197</v>
      </c>
      <c r="C38" s="1" t="s">
        <v>50</v>
      </c>
      <c r="D38" s="17" t="s">
        <v>18</v>
      </c>
      <c r="E38" s="1" t="s">
        <v>39</v>
      </c>
      <c r="F38" s="38">
        <v>4.25</v>
      </c>
      <c r="G38" s="64" t="str">
        <f>IF(Faculty_Clean_Data[[#This Row],[Experience_Years]]&lt;5,"Junior",IF(Faculty_Clean_Data[[#This Row],[Experience_Years]]&gt;=15, "Senior", "Mid"))</f>
        <v>Junior</v>
      </c>
      <c r="H38" s="1" t="s">
        <v>144</v>
      </c>
      <c r="I38" s="1" t="s">
        <v>126</v>
      </c>
      <c r="J38" s="2">
        <v>1</v>
      </c>
      <c r="K3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38" s="2">
        <v>1</v>
      </c>
      <c r="M38" s="2">
        <v>1</v>
      </c>
      <c r="N38" s="2">
        <v>0</v>
      </c>
      <c r="O38" s="2">
        <v>2</v>
      </c>
      <c r="P38" s="2">
        <v>0</v>
      </c>
      <c r="Q38" s="2">
        <v>1</v>
      </c>
      <c r="R38" s="2">
        <v>11</v>
      </c>
      <c r="S38" s="38">
        <v>11</v>
      </c>
      <c r="T38" s="2">
        <v>0</v>
      </c>
      <c r="U38" s="2">
        <v>3</v>
      </c>
      <c r="V38" s="60">
        <f>SUM(Faculty_Clean_Data[[#This Row],[Teaching_Hours]],Faculty_Clean_Data[[#This Row],[Lab_Hours]],Faculty_Clean_Data[[#This Row],[Tutorials_Activity]])</f>
        <v>14</v>
      </c>
      <c r="W38" s="38">
        <v>1</v>
      </c>
      <c r="X38" s="39">
        <v>2</v>
      </c>
      <c r="Y38" s="38">
        <v>2</v>
      </c>
      <c r="Z38" s="38">
        <v>1</v>
      </c>
      <c r="AA38" s="43">
        <f t="shared" si="0"/>
        <v>5</v>
      </c>
      <c r="AB38" s="50">
        <f t="shared" si="1"/>
        <v>20</v>
      </c>
      <c r="AC3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</v>
      </c>
      <c r="AD38" s="58" t="str">
        <f>IF(Faculty_Clean_Data[[#This Row],[Check_Total]]-Faculty_Clean_Data[[#This Row],[Total_Hours]]&gt;0.5,"Mismatch","OK")</f>
        <v>OK</v>
      </c>
    </row>
    <row r="39" spans="1:30" ht="30" x14ac:dyDescent="0.25">
      <c r="A39" s="20">
        <v>38</v>
      </c>
      <c r="B39" s="1" t="s">
        <v>198</v>
      </c>
      <c r="C39" s="1" t="s">
        <v>51</v>
      </c>
      <c r="D39" s="17" t="s">
        <v>18</v>
      </c>
      <c r="E39" s="1" t="s">
        <v>40</v>
      </c>
      <c r="F39" s="38">
        <v>6.166666666666667</v>
      </c>
      <c r="G39" s="64" t="str">
        <f>IF(Faculty_Clean_Data[[#This Row],[Experience_Years]]&lt;5,"Junior",IF(Faculty_Clean_Data[[#This Row],[Experience_Years]]&gt;=15, "Senior", "Mid"))</f>
        <v>Mid</v>
      </c>
      <c r="H39" s="1" t="s">
        <v>145</v>
      </c>
      <c r="I39" s="1" t="s">
        <v>149</v>
      </c>
      <c r="J39" s="2">
        <v>2</v>
      </c>
      <c r="K39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39" s="2">
        <v>1</v>
      </c>
      <c r="M39" s="2">
        <v>2</v>
      </c>
      <c r="N39" s="2">
        <v>0</v>
      </c>
      <c r="O39" s="2">
        <v>3</v>
      </c>
      <c r="P39" s="2">
        <v>0</v>
      </c>
      <c r="Q39" s="2">
        <v>1</v>
      </c>
      <c r="R39" s="2">
        <v>20</v>
      </c>
      <c r="S39" s="38">
        <v>20</v>
      </c>
      <c r="T39" s="2">
        <v>0</v>
      </c>
      <c r="U39" s="2">
        <v>0</v>
      </c>
      <c r="V39" s="60">
        <f>SUM(Faculty_Clean_Data[[#This Row],[Teaching_Hours]],Faculty_Clean_Data[[#This Row],[Lab_Hours]],Faculty_Clean_Data[[#This Row],[Tutorials_Activity]])</f>
        <v>20</v>
      </c>
      <c r="W39" s="38">
        <v>1</v>
      </c>
      <c r="X39" s="39">
        <v>3</v>
      </c>
      <c r="Y39" s="38">
        <v>2</v>
      </c>
      <c r="Z39" s="38">
        <v>3</v>
      </c>
      <c r="AA39" s="43">
        <f t="shared" si="0"/>
        <v>8</v>
      </c>
      <c r="AB39" s="50">
        <f t="shared" si="1"/>
        <v>29</v>
      </c>
      <c r="AC3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29</v>
      </c>
      <c r="AD39" s="58" t="str">
        <f>IF(Faculty_Clean_Data[[#This Row],[Check_Total]]-Faculty_Clean_Data[[#This Row],[Total_Hours]]&gt;0.5,"Mismatch","OK")</f>
        <v>OK</v>
      </c>
    </row>
    <row r="40" spans="1:30" ht="30" x14ac:dyDescent="0.25">
      <c r="A40" s="20">
        <v>39</v>
      </c>
      <c r="B40" s="1" t="s">
        <v>199</v>
      </c>
      <c r="C40" s="1" t="s">
        <v>160</v>
      </c>
      <c r="D40" s="17" t="s">
        <v>18</v>
      </c>
      <c r="E40" s="1"/>
      <c r="F40" s="38">
        <v>0</v>
      </c>
      <c r="G40" s="64" t="str">
        <f>IF(Faculty_Clean_Data[[#This Row],[Experience_Years]]&lt;5,"Junior",IF(Faculty_Clean_Data[[#This Row],[Experience_Years]]&gt;=15, "Senior", "Mid"))</f>
        <v>Junior</v>
      </c>
      <c r="H40" s="1"/>
      <c r="I40" s="1"/>
      <c r="J40" s="2">
        <v>1</v>
      </c>
      <c r="K4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0" s="2">
        <v>1</v>
      </c>
      <c r="M40" s="2">
        <v>0</v>
      </c>
      <c r="N40" s="2">
        <v>1</v>
      </c>
      <c r="O40" s="2">
        <v>2</v>
      </c>
      <c r="P40" s="2">
        <v>1</v>
      </c>
      <c r="Q40" s="2">
        <v>0</v>
      </c>
      <c r="R40" s="2">
        <v>6</v>
      </c>
      <c r="S40" s="38">
        <v>6</v>
      </c>
      <c r="T40" s="2"/>
      <c r="U40" s="2">
        <v>0</v>
      </c>
      <c r="V40" s="60">
        <f>SUM(Faculty_Clean_Data[[#This Row],[Teaching_Hours]],Faculty_Clean_Data[[#This Row],[Lab_Hours]],Faculty_Clean_Data[[#This Row],[Tutorials_Activity]])</f>
        <v>6</v>
      </c>
      <c r="W40" s="38">
        <v>1</v>
      </c>
      <c r="X40" s="39">
        <v>2</v>
      </c>
      <c r="Y40" s="38">
        <v>2</v>
      </c>
      <c r="Z40" s="38">
        <v>1</v>
      </c>
      <c r="AA40" s="43">
        <f t="shared" si="0"/>
        <v>5</v>
      </c>
      <c r="AB40" s="50">
        <f t="shared" si="1"/>
        <v>12</v>
      </c>
      <c r="AC4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40" s="58" t="str">
        <f>IF(Faculty_Clean_Data[[#This Row],[Check_Total]]-Faculty_Clean_Data[[#This Row],[Total_Hours]]&gt;0.5,"Mismatch","OK")</f>
        <v>OK</v>
      </c>
    </row>
    <row r="41" spans="1:30" ht="30" x14ac:dyDescent="0.25">
      <c r="A41" s="20">
        <v>40</v>
      </c>
      <c r="B41" s="1" t="s">
        <v>200</v>
      </c>
      <c r="C41" s="1" t="s">
        <v>52</v>
      </c>
      <c r="D41" s="17" t="s">
        <v>18</v>
      </c>
      <c r="E41" s="1" t="s">
        <v>38</v>
      </c>
      <c r="F41" s="38">
        <v>3.3333333333333335</v>
      </c>
      <c r="G41" s="64" t="str">
        <f>IF(Faculty_Clean_Data[[#This Row],[Experience_Years]]&lt;5,"Junior",IF(Faculty_Clean_Data[[#This Row],[Experience_Years]]&gt;=15, "Senior", "Mid"))</f>
        <v>Junior</v>
      </c>
      <c r="H41" s="1" t="s">
        <v>144</v>
      </c>
      <c r="I41" s="1" t="s">
        <v>140</v>
      </c>
      <c r="J41" s="2">
        <v>1</v>
      </c>
      <c r="K4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1" s="2">
        <v>1</v>
      </c>
      <c r="M41" s="2">
        <v>1</v>
      </c>
      <c r="N41" s="2">
        <v>0</v>
      </c>
      <c r="O41" s="2">
        <v>2</v>
      </c>
      <c r="P41" s="2">
        <v>1</v>
      </c>
      <c r="Q41" s="2">
        <v>0</v>
      </c>
      <c r="R41" s="2">
        <v>8</v>
      </c>
      <c r="S41" s="38">
        <v>8</v>
      </c>
      <c r="T41" s="2">
        <v>0</v>
      </c>
      <c r="U41" s="2">
        <v>2</v>
      </c>
      <c r="V41" s="60">
        <f>SUM(Faculty_Clean_Data[[#This Row],[Teaching_Hours]],Faculty_Clean_Data[[#This Row],[Lab_Hours]],Faculty_Clean_Data[[#This Row],[Tutorials_Activity]])</f>
        <v>10</v>
      </c>
      <c r="W41" s="38">
        <v>1</v>
      </c>
      <c r="X41" s="39">
        <v>2</v>
      </c>
      <c r="Y41" s="38">
        <v>2</v>
      </c>
      <c r="Z41" s="38">
        <v>1</v>
      </c>
      <c r="AA41" s="43">
        <f t="shared" si="0"/>
        <v>5</v>
      </c>
      <c r="AB41" s="50">
        <f t="shared" si="1"/>
        <v>16</v>
      </c>
      <c r="AC4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16</v>
      </c>
      <c r="AD41" s="58" t="str">
        <f>IF(Faculty_Clean_Data[[#This Row],[Check_Total]]-Faculty_Clean_Data[[#This Row],[Total_Hours]]&gt;0.5,"Mismatch","OK")</f>
        <v>OK</v>
      </c>
    </row>
    <row r="42" spans="1:30" ht="30" x14ac:dyDescent="0.25">
      <c r="A42" s="20">
        <v>41</v>
      </c>
      <c r="B42" s="1" t="s">
        <v>201</v>
      </c>
      <c r="C42" s="1" t="s">
        <v>53</v>
      </c>
      <c r="D42" s="17" t="s">
        <v>18</v>
      </c>
      <c r="E42" s="1" t="s">
        <v>38</v>
      </c>
      <c r="F42" s="38">
        <v>9.6666666666666661</v>
      </c>
      <c r="G42" s="64" t="str">
        <f>IF(Faculty_Clean_Data[[#This Row],[Experience_Years]]&lt;5,"Junior",IF(Faculty_Clean_Data[[#This Row],[Experience_Years]]&gt;=15, "Senior", "Mid"))</f>
        <v>Mid</v>
      </c>
      <c r="H42" s="1" t="s">
        <v>144</v>
      </c>
      <c r="I42" s="1" t="s">
        <v>126</v>
      </c>
      <c r="J42" s="2">
        <v>2</v>
      </c>
      <c r="K4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2" s="2">
        <v>0</v>
      </c>
      <c r="M42" s="2">
        <v>2</v>
      </c>
      <c r="N42" s="2">
        <v>0</v>
      </c>
      <c r="O42" s="2">
        <v>1.46</v>
      </c>
      <c r="P42" s="2">
        <v>0</v>
      </c>
      <c r="Q42" s="2">
        <v>1</v>
      </c>
      <c r="R42" s="2">
        <v>7</v>
      </c>
      <c r="S42" s="38">
        <v>7</v>
      </c>
      <c r="T42" s="2">
        <v>0</v>
      </c>
      <c r="U42" s="2">
        <v>0</v>
      </c>
      <c r="V42" s="60">
        <f>SUM(Faculty_Clean_Data[[#This Row],[Teaching_Hours]],Faculty_Clean_Data[[#This Row],[Lab_Hours]],Faculty_Clean_Data[[#This Row],[Tutorials_Activity]])</f>
        <v>7</v>
      </c>
      <c r="W42" s="38">
        <v>1</v>
      </c>
      <c r="X42" s="39">
        <v>2</v>
      </c>
      <c r="Y42" s="38">
        <v>2</v>
      </c>
      <c r="Z42" s="38">
        <v>1</v>
      </c>
      <c r="AA42" s="43">
        <f t="shared" si="0"/>
        <v>5</v>
      </c>
      <c r="AB42" s="50">
        <f t="shared" si="1"/>
        <v>13</v>
      </c>
      <c r="AC4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13</v>
      </c>
      <c r="AD42" s="58" t="str">
        <f>IF(Faculty_Clean_Data[[#This Row],[Check_Total]]-Faculty_Clean_Data[[#This Row],[Total_Hours]]&gt;0.5,"Mismatch","OK")</f>
        <v>OK</v>
      </c>
    </row>
    <row r="43" spans="1:30" ht="30" x14ac:dyDescent="0.25">
      <c r="A43" s="20">
        <v>42</v>
      </c>
      <c r="B43" s="1" t="s">
        <v>202</v>
      </c>
      <c r="C43" s="1" t="s">
        <v>54</v>
      </c>
      <c r="D43" s="17" t="s">
        <v>18</v>
      </c>
      <c r="E43" s="1" t="s">
        <v>38</v>
      </c>
      <c r="F43" s="38">
        <v>3</v>
      </c>
      <c r="G43" s="64" t="str">
        <f>IF(Faculty_Clean_Data[[#This Row],[Experience_Years]]&lt;5,"Junior",IF(Faculty_Clean_Data[[#This Row],[Experience_Years]]&gt;=15, "Senior", "Mid"))</f>
        <v>Junior</v>
      </c>
      <c r="H43" s="1" t="s">
        <v>144</v>
      </c>
      <c r="I43" s="1" t="s">
        <v>140</v>
      </c>
      <c r="J43" s="2">
        <v>2</v>
      </c>
      <c r="K4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3" s="2">
        <v>0</v>
      </c>
      <c r="M43" s="2">
        <v>1</v>
      </c>
      <c r="N43" s="2">
        <v>1</v>
      </c>
      <c r="O43" s="2">
        <v>1.2</v>
      </c>
      <c r="P43" s="2">
        <v>1</v>
      </c>
      <c r="Q43" s="2">
        <v>0</v>
      </c>
      <c r="R43" s="2">
        <v>10</v>
      </c>
      <c r="S43" s="38">
        <v>10</v>
      </c>
      <c r="T43" s="2">
        <v>0</v>
      </c>
      <c r="U43" s="2">
        <v>0</v>
      </c>
      <c r="V43" s="60">
        <f>SUM(Faculty_Clean_Data[[#This Row],[Teaching_Hours]],Faculty_Clean_Data[[#This Row],[Lab_Hours]],Faculty_Clean_Data[[#This Row],[Tutorials_Activity]])</f>
        <v>10</v>
      </c>
      <c r="W43" s="38">
        <v>1</v>
      </c>
      <c r="X43" s="39">
        <v>2</v>
      </c>
      <c r="Y43" s="38">
        <v>2</v>
      </c>
      <c r="Z43" s="38">
        <v>1</v>
      </c>
      <c r="AA43" s="43">
        <f t="shared" si="0"/>
        <v>5</v>
      </c>
      <c r="AB43" s="50">
        <f t="shared" si="1"/>
        <v>16</v>
      </c>
      <c r="AC4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16</v>
      </c>
      <c r="AD43" s="58" t="str">
        <f>IF(Faculty_Clean_Data[[#This Row],[Check_Total]]-Faculty_Clean_Data[[#This Row],[Total_Hours]]&gt;0.5,"Mismatch","OK")</f>
        <v>OK</v>
      </c>
    </row>
    <row r="44" spans="1:30" ht="30" x14ac:dyDescent="0.25">
      <c r="A44" s="20">
        <v>43</v>
      </c>
      <c r="B44" s="1" t="s">
        <v>203</v>
      </c>
      <c r="C44" s="1" t="s">
        <v>55</v>
      </c>
      <c r="D44" s="17" t="s">
        <v>18</v>
      </c>
      <c r="E44" s="1" t="s">
        <v>40</v>
      </c>
      <c r="F44" s="38">
        <v>10</v>
      </c>
      <c r="G44" s="64" t="str">
        <f>IF(Faculty_Clean_Data[[#This Row],[Experience_Years]]&lt;5,"Junior",IF(Faculty_Clean_Data[[#This Row],[Experience_Years]]&gt;=15, "Senior", "Mid"))</f>
        <v>Mid</v>
      </c>
      <c r="H44" s="1" t="s">
        <v>145</v>
      </c>
      <c r="I44" s="1" t="s">
        <v>154</v>
      </c>
      <c r="J44" s="2">
        <v>2</v>
      </c>
      <c r="K4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4" s="2">
        <v>1</v>
      </c>
      <c r="M44" s="2">
        <v>2</v>
      </c>
      <c r="N44" s="2">
        <v>0</v>
      </c>
      <c r="O44" s="2">
        <v>2.5</v>
      </c>
      <c r="P44" s="2">
        <v>1</v>
      </c>
      <c r="Q44" s="2">
        <v>0</v>
      </c>
      <c r="R44" s="2">
        <v>15</v>
      </c>
      <c r="S44" s="38">
        <v>15</v>
      </c>
      <c r="T44" s="2">
        <v>0</v>
      </c>
      <c r="U44" s="2">
        <v>2</v>
      </c>
      <c r="V44" s="60">
        <f>SUM(Faculty_Clean_Data[[#This Row],[Teaching_Hours]],Faculty_Clean_Data[[#This Row],[Lab_Hours]],Faculty_Clean_Data[[#This Row],[Tutorials_Activity]])</f>
        <v>17</v>
      </c>
      <c r="W44" s="38">
        <v>1</v>
      </c>
      <c r="X44" s="39">
        <v>7</v>
      </c>
      <c r="Y44" s="38">
        <v>2</v>
      </c>
      <c r="Z44" s="38">
        <v>3</v>
      </c>
      <c r="AA44" s="43">
        <f t="shared" si="0"/>
        <v>12</v>
      </c>
      <c r="AB44" s="50">
        <f t="shared" si="1"/>
        <v>30</v>
      </c>
      <c r="AC4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30</v>
      </c>
      <c r="AD44" s="58" t="str">
        <f>IF(Faculty_Clean_Data[[#This Row],[Check_Total]]-Faculty_Clean_Data[[#This Row],[Total_Hours]]&gt;0.5,"Mismatch","OK")</f>
        <v>OK</v>
      </c>
    </row>
    <row r="45" spans="1:30" ht="30" x14ac:dyDescent="0.25">
      <c r="A45" s="20">
        <v>44</v>
      </c>
      <c r="B45" s="1" t="s">
        <v>204</v>
      </c>
      <c r="C45" s="1" t="s">
        <v>56</v>
      </c>
      <c r="D45" s="17" t="s">
        <v>18</v>
      </c>
      <c r="E45" s="1" t="s">
        <v>38</v>
      </c>
      <c r="F45" s="38">
        <v>5</v>
      </c>
      <c r="G45" s="64" t="str">
        <f>IF(Faculty_Clean_Data[[#This Row],[Experience_Years]]&lt;5,"Junior",IF(Faculty_Clean_Data[[#This Row],[Experience_Years]]&gt;=15, "Senior", "Mid"))</f>
        <v>Mid</v>
      </c>
      <c r="H45" s="1" t="s">
        <v>144</v>
      </c>
      <c r="I45" s="1" t="s">
        <v>151</v>
      </c>
      <c r="J45" s="2">
        <v>3</v>
      </c>
      <c r="K4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5" s="2">
        <v>0</v>
      </c>
      <c r="M45" s="2">
        <v>2</v>
      </c>
      <c r="N45" s="2">
        <v>1</v>
      </c>
      <c r="O45" s="2">
        <v>1.71</v>
      </c>
      <c r="P45" s="2">
        <v>0</v>
      </c>
      <c r="Q45" s="2">
        <v>1</v>
      </c>
      <c r="R45" s="2">
        <v>15</v>
      </c>
      <c r="S45" s="38">
        <v>15</v>
      </c>
      <c r="T45" s="2">
        <v>0</v>
      </c>
      <c r="U45" s="2">
        <v>0</v>
      </c>
      <c r="V45" s="60">
        <f>SUM(Faculty_Clean_Data[[#This Row],[Teaching_Hours]],Faculty_Clean_Data[[#This Row],[Lab_Hours]],Faculty_Clean_Data[[#This Row],[Tutorials_Activity]])</f>
        <v>15</v>
      </c>
      <c r="W45" s="38">
        <v>1</v>
      </c>
      <c r="X45" s="39">
        <v>2</v>
      </c>
      <c r="Y45" s="38">
        <v>2</v>
      </c>
      <c r="Z45" s="38">
        <v>1</v>
      </c>
      <c r="AA45" s="43">
        <f t="shared" si="0"/>
        <v>5</v>
      </c>
      <c r="AB45" s="50">
        <f t="shared" si="1"/>
        <v>21</v>
      </c>
      <c r="AC4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21</v>
      </c>
      <c r="AD45" s="58" t="str">
        <f>IF(Faculty_Clean_Data[[#This Row],[Check_Total]]-Faculty_Clean_Data[[#This Row],[Total_Hours]]&gt;0.5,"Mismatch","OK")</f>
        <v>OK</v>
      </c>
    </row>
    <row r="46" spans="1:30" ht="30" x14ac:dyDescent="0.25">
      <c r="A46" s="20">
        <v>45</v>
      </c>
      <c r="B46" s="1" t="s">
        <v>205</v>
      </c>
      <c r="C46" s="1" t="s">
        <v>155</v>
      </c>
      <c r="D46" s="17" t="s">
        <v>18</v>
      </c>
      <c r="E46" s="1" t="s">
        <v>38</v>
      </c>
      <c r="F46" s="38">
        <v>2</v>
      </c>
      <c r="G46" s="64" t="str">
        <f>IF(Faculty_Clean_Data[[#This Row],[Experience_Years]]&lt;5,"Junior",IF(Faculty_Clean_Data[[#This Row],[Experience_Years]]&gt;=15, "Senior", "Mid"))</f>
        <v>Junior</v>
      </c>
      <c r="H46" s="1" t="s">
        <v>144</v>
      </c>
      <c r="I46" s="1" t="s">
        <v>151</v>
      </c>
      <c r="J46" s="2">
        <v>2</v>
      </c>
      <c r="K4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6" s="2">
        <v>0</v>
      </c>
      <c r="M46" s="2">
        <v>1</v>
      </c>
      <c r="N46" s="2">
        <v>1</v>
      </c>
      <c r="O46" s="2">
        <v>0.78</v>
      </c>
      <c r="P46" s="2">
        <v>1</v>
      </c>
      <c r="Q46" s="2">
        <v>0</v>
      </c>
      <c r="R46" s="2">
        <v>10</v>
      </c>
      <c r="S46" s="38">
        <v>10</v>
      </c>
      <c r="T46" s="2">
        <v>0</v>
      </c>
      <c r="U46" s="2">
        <v>2</v>
      </c>
      <c r="V46" s="60">
        <f>SUM(Faculty_Clean_Data[[#This Row],[Teaching_Hours]],Faculty_Clean_Data[[#This Row],[Lab_Hours]],Faculty_Clean_Data[[#This Row],[Tutorials_Activity]])</f>
        <v>12</v>
      </c>
      <c r="W46" s="38">
        <v>1</v>
      </c>
      <c r="X46" s="39">
        <v>2</v>
      </c>
      <c r="Y46" s="38">
        <v>2</v>
      </c>
      <c r="Z46" s="38">
        <v>1</v>
      </c>
      <c r="AA46" s="43">
        <f t="shared" si="0"/>
        <v>5</v>
      </c>
      <c r="AB46" s="50">
        <f t="shared" si="1"/>
        <v>18</v>
      </c>
      <c r="AC4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18</v>
      </c>
      <c r="AD46" s="58" t="str">
        <f>IF(Faculty_Clean_Data[[#This Row],[Check_Total]]-Faculty_Clean_Data[[#This Row],[Total_Hours]]&gt;0.5,"Mismatch","OK")</f>
        <v>OK</v>
      </c>
    </row>
    <row r="47" spans="1:30" ht="30" x14ac:dyDescent="0.25">
      <c r="A47" s="20">
        <v>46</v>
      </c>
      <c r="B47" s="1" t="s">
        <v>206</v>
      </c>
      <c r="C47" s="1" t="s">
        <v>57</v>
      </c>
      <c r="D47" s="17" t="s">
        <v>18</v>
      </c>
      <c r="E47" s="1" t="s">
        <v>38</v>
      </c>
      <c r="F47" s="38">
        <v>2</v>
      </c>
      <c r="G47" s="64" t="str">
        <f>IF(Faculty_Clean_Data[[#This Row],[Experience_Years]]&lt;5,"Junior",IF(Faculty_Clean_Data[[#This Row],[Experience_Years]]&gt;=15, "Senior", "Mid"))</f>
        <v>Junior</v>
      </c>
      <c r="H47" s="1" t="s">
        <v>144</v>
      </c>
      <c r="I47" s="1" t="s">
        <v>151</v>
      </c>
      <c r="J47" s="2">
        <v>1</v>
      </c>
      <c r="K4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7" s="2">
        <v>0</v>
      </c>
      <c r="M47" s="2">
        <v>0</v>
      </c>
      <c r="N47" s="2">
        <v>1</v>
      </c>
      <c r="O47" s="2">
        <v>0.08</v>
      </c>
      <c r="P47" s="2">
        <v>1</v>
      </c>
      <c r="Q47" s="2">
        <v>0</v>
      </c>
      <c r="R47" s="2">
        <v>5</v>
      </c>
      <c r="S47" s="38">
        <v>5</v>
      </c>
      <c r="T47" s="2">
        <v>0</v>
      </c>
      <c r="U47" s="2">
        <v>6</v>
      </c>
      <c r="V47" s="60">
        <f>SUM(Faculty_Clean_Data[[#This Row],[Teaching_Hours]],Faculty_Clean_Data[[#This Row],[Lab_Hours]],Faculty_Clean_Data[[#This Row],[Tutorials_Activity]])</f>
        <v>11</v>
      </c>
      <c r="W47" s="38">
        <v>1</v>
      </c>
      <c r="X47" s="39">
        <v>2</v>
      </c>
      <c r="Y47" s="38">
        <v>2</v>
      </c>
      <c r="Z47" s="38">
        <v>1</v>
      </c>
      <c r="AA47" s="43">
        <f t="shared" si="0"/>
        <v>5</v>
      </c>
      <c r="AB47" s="50">
        <f t="shared" si="1"/>
        <v>17</v>
      </c>
      <c r="AC4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17</v>
      </c>
      <c r="AD47" s="58" t="str">
        <f>IF(Faculty_Clean_Data[[#This Row],[Check_Total]]-Faculty_Clean_Data[[#This Row],[Total_Hours]]&gt;0.5,"Mismatch","OK")</f>
        <v>OK</v>
      </c>
    </row>
    <row r="48" spans="1:30" x14ac:dyDescent="0.25">
      <c r="A48" s="20">
        <v>47</v>
      </c>
      <c r="B48" s="1" t="s">
        <v>207</v>
      </c>
      <c r="C48" s="5" t="s">
        <v>275</v>
      </c>
      <c r="D48" s="1" t="s">
        <v>15</v>
      </c>
      <c r="E48" s="1" t="s">
        <v>37</v>
      </c>
      <c r="F48" s="38">
        <v>17.5</v>
      </c>
      <c r="G48" s="64" t="str">
        <f>IF(Faculty_Clean_Data[[#This Row],[Experience_Years]]&lt;5,"Junior",IF(Faculty_Clean_Data[[#This Row],[Experience_Years]]&gt;=15, "Senior", "Mid"))</f>
        <v>Senior</v>
      </c>
      <c r="H48" s="1" t="s">
        <v>121</v>
      </c>
      <c r="I48" s="1" t="s">
        <v>131</v>
      </c>
      <c r="J48" s="2">
        <v>1</v>
      </c>
      <c r="K4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8" s="2">
        <v>0</v>
      </c>
      <c r="M48" s="2">
        <v>1</v>
      </c>
      <c r="N48" s="2">
        <v>0</v>
      </c>
      <c r="O48" s="2">
        <v>0.6</v>
      </c>
      <c r="P48" s="2">
        <v>0</v>
      </c>
      <c r="Q48" s="2">
        <v>1</v>
      </c>
      <c r="R48" s="2">
        <v>5</v>
      </c>
      <c r="S48" s="38">
        <v>5</v>
      </c>
      <c r="T48" s="2">
        <v>3</v>
      </c>
      <c r="U48" s="2">
        <v>0</v>
      </c>
      <c r="V48" s="60">
        <f>SUM(Faculty_Clean_Data[[#This Row],[Teaching_Hours]],Faculty_Clean_Data[[#This Row],[Lab_Hours]],Faculty_Clean_Data[[#This Row],[Tutorials_Activity]])</f>
        <v>8</v>
      </c>
      <c r="W48" s="38">
        <v>3</v>
      </c>
      <c r="X48" s="39">
        <v>6</v>
      </c>
      <c r="Y48" s="38">
        <v>6</v>
      </c>
      <c r="Z48" s="38">
        <v>1</v>
      </c>
      <c r="AA48" s="43">
        <f t="shared" si="0"/>
        <v>13</v>
      </c>
      <c r="AB48" s="50">
        <f t="shared" si="1"/>
        <v>24</v>
      </c>
      <c r="AC4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48" s="58" t="str">
        <f>IF(Faculty_Clean_Data[[#This Row],[Check_Total]]-Faculty_Clean_Data[[#This Row],[Total_Hours]]&gt;0.5,"Mismatch","OK")</f>
        <v>OK</v>
      </c>
    </row>
    <row r="49" spans="1:43" ht="30" x14ac:dyDescent="0.25">
      <c r="A49" s="20">
        <v>48</v>
      </c>
      <c r="B49" s="1" t="s">
        <v>208</v>
      </c>
      <c r="C49" s="1" t="s">
        <v>59</v>
      </c>
      <c r="D49" s="17" t="s">
        <v>18</v>
      </c>
      <c r="E49" s="1" t="s">
        <v>73</v>
      </c>
      <c r="F49" s="38">
        <v>7</v>
      </c>
      <c r="G49" s="64" t="str">
        <f>IF(Faculty_Clean_Data[[#This Row],[Experience_Years]]&lt;5,"Junior",IF(Faculty_Clean_Data[[#This Row],[Experience_Years]]&gt;=15, "Senior", "Mid"))</f>
        <v>Mid</v>
      </c>
      <c r="H49" s="1" t="s">
        <v>133</v>
      </c>
      <c r="I49" s="1" t="s">
        <v>135</v>
      </c>
      <c r="J49" s="2">
        <v>3</v>
      </c>
      <c r="K4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49" s="2">
        <v>0</v>
      </c>
      <c r="M49" s="2">
        <v>0</v>
      </c>
      <c r="N49" s="2">
        <v>3</v>
      </c>
      <c r="O49" s="2">
        <v>1.83</v>
      </c>
      <c r="P49" s="2">
        <v>0</v>
      </c>
      <c r="Q49" s="2">
        <v>1</v>
      </c>
      <c r="R49" s="2">
        <v>10</v>
      </c>
      <c r="S49" s="38">
        <v>10</v>
      </c>
      <c r="T49" s="2">
        <v>6</v>
      </c>
      <c r="U49" s="2">
        <v>0</v>
      </c>
      <c r="V49" s="60">
        <f>SUM(Faculty_Clean_Data[[#This Row],[Teaching_Hours]],Faculty_Clean_Data[[#This Row],[Lab_Hours]],Faculty_Clean_Data[[#This Row],[Tutorials_Activity]])</f>
        <v>16</v>
      </c>
      <c r="W49" s="38">
        <v>1</v>
      </c>
      <c r="X49" s="39">
        <v>2</v>
      </c>
      <c r="Y49" s="38">
        <v>2</v>
      </c>
      <c r="Z49" s="38">
        <v>1</v>
      </c>
      <c r="AA49" s="43">
        <f t="shared" si="0"/>
        <v>5</v>
      </c>
      <c r="AB49" s="50">
        <f t="shared" si="1"/>
        <v>22</v>
      </c>
      <c r="AC4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22</v>
      </c>
      <c r="AD49" s="58" t="str">
        <f>IF(Faculty_Clean_Data[[#This Row],[Check_Total]]-Faculty_Clean_Data[[#This Row],[Total_Hours]]&gt;0.5,"Mismatch","OK")</f>
        <v>OK</v>
      </c>
    </row>
    <row r="50" spans="1:43" ht="30" x14ac:dyDescent="0.25">
      <c r="A50" s="20">
        <v>49</v>
      </c>
      <c r="B50" s="1" t="s">
        <v>209</v>
      </c>
      <c r="C50" s="1" t="s">
        <v>60</v>
      </c>
      <c r="D50" s="17" t="s">
        <v>18</v>
      </c>
      <c r="E50" s="1" t="s">
        <v>73</v>
      </c>
      <c r="F50" s="38">
        <v>4.333333333333333</v>
      </c>
      <c r="G50" s="64" t="str">
        <f>IF(Faculty_Clean_Data[[#This Row],[Experience_Years]]&lt;5,"Junior",IF(Faculty_Clean_Data[[#This Row],[Experience_Years]]&gt;=15, "Senior", "Mid"))</f>
        <v>Junior</v>
      </c>
      <c r="H50" s="1" t="s">
        <v>121</v>
      </c>
      <c r="I50" s="1" t="s">
        <v>133</v>
      </c>
      <c r="J50" s="2">
        <v>1</v>
      </c>
      <c r="K5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0" s="2">
        <v>0</v>
      </c>
      <c r="M50" s="2">
        <v>1</v>
      </c>
      <c r="N50" s="2">
        <v>0</v>
      </c>
      <c r="O50" s="2">
        <v>1</v>
      </c>
      <c r="P50" s="2">
        <v>1</v>
      </c>
      <c r="Q50" s="2">
        <v>0</v>
      </c>
      <c r="R50" s="2">
        <v>0</v>
      </c>
      <c r="S50" s="38">
        <v>0</v>
      </c>
      <c r="T50" s="2">
        <v>3</v>
      </c>
      <c r="U50" s="2">
        <v>0</v>
      </c>
      <c r="V50" s="60">
        <f>SUM(Faculty_Clean_Data[[#This Row],[Teaching_Hours]],Faculty_Clean_Data[[#This Row],[Lab_Hours]],Faculty_Clean_Data[[#This Row],[Tutorials_Activity]])</f>
        <v>3</v>
      </c>
      <c r="W50" s="38">
        <v>1</v>
      </c>
      <c r="X50" s="39">
        <v>2</v>
      </c>
      <c r="Y50" s="38">
        <v>2</v>
      </c>
      <c r="Z50" s="38">
        <v>1</v>
      </c>
      <c r="AA50" s="43">
        <f t="shared" si="0"/>
        <v>5</v>
      </c>
      <c r="AB50" s="50">
        <f t="shared" si="1"/>
        <v>9</v>
      </c>
      <c r="AC5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9</v>
      </c>
      <c r="AD50" s="58" t="str">
        <f>IF(Faculty_Clean_Data[[#This Row],[Check_Total]]-Faculty_Clean_Data[[#This Row],[Total_Hours]]&gt;0.5,"Mismatch","OK")</f>
        <v>OK</v>
      </c>
    </row>
    <row r="51" spans="1:43" ht="30" x14ac:dyDescent="0.25">
      <c r="A51" s="20">
        <v>50</v>
      </c>
      <c r="B51" s="1" t="s">
        <v>210</v>
      </c>
      <c r="C51" s="1" t="s">
        <v>61</v>
      </c>
      <c r="D51" s="17" t="s">
        <v>18</v>
      </c>
      <c r="E51" s="1" t="s">
        <v>73</v>
      </c>
      <c r="F51" s="38">
        <v>2.5833333333333335</v>
      </c>
      <c r="G51" s="64" t="str">
        <f>IF(Faculty_Clean_Data[[#This Row],[Experience_Years]]&lt;5,"Junior",IF(Faculty_Clean_Data[[#This Row],[Experience_Years]]&gt;=15, "Senior", "Mid"))</f>
        <v>Junior</v>
      </c>
      <c r="H51" s="1" t="s">
        <v>133</v>
      </c>
      <c r="I51" s="1" t="s">
        <v>136</v>
      </c>
      <c r="J51" s="2">
        <v>3</v>
      </c>
      <c r="K5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1" s="2">
        <v>0</v>
      </c>
      <c r="M51" s="2">
        <v>0</v>
      </c>
      <c r="N51" s="2">
        <v>2</v>
      </c>
      <c r="O51" s="2">
        <v>2.4500000000000002</v>
      </c>
      <c r="P51" s="2">
        <v>0</v>
      </c>
      <c r="Q51" s="2">
        <v>1</v>
      </c>
      <c r="R51" s="2">
        <v>12</v>
      </c>
      <c r="S51" s="38">
        <v>12</v>
      </c>
      <c r="T51" s="2">
        <v>3</v>
      </c>
      <c r="U51" s="2">
        <v>0</v>
      </c>
      <c r="V51" s="60">
        <f>SUM(Faculty_Clean_Data[[#This Row],[Teaching_Hours]],Faculty_Clean_Data[[#This Row],[Lab_Hours]],Faculty_Clean_Data[[#This Row],[Tutorials_Activity]])</f>
        <v>15</v>
      </c>
      <c r="W51" s="38">
        <v>1</v>
      </c>
      <c r="X51" s="39">
        <v>2</v>
      </c>
      <c r="Y51" s="38">
        <v>2</v>
      </c>
      <c r="Z51" s="38">
        <v>1</v>
      </c>
      <c r="AA51" s="43">
        <f t="shared" si="0"/>
        <v>5</v>
      </c>
      <c r="AB51" s="50">
        <f t="shared" si="1"/>
        <v>21</v>
      </c>
      <c r="AC5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21</v>
      </c>
      <c r="AD51" s="58" t="str">
        <f>IF(Faculty_Clean_Data[[#This Row],[Check_Total]]-Faculty_Clean_Data[[#This Row],[Total_Hours]]&gt;0.5,"Mismatch","OK")</f>
        <v>OK</v>
      </c>
    </row>
    <row r="52" spans="1:43" s="3" customFormat="1" ht="30" x14ac:dyDescent="0.25">
      <c r="A52" s="20">
        <v>51</v>
      </c>
      <c r="B52" s="1" t="s">
        <v>211</v>
      </c>
      <c r="C52" s="6" t="s">
        <v>276</v>
      </c>
      <c r="D52" s="18" t="s">
        <v>18</v>
      </c>
      <c r="E52" s="6" t="s">
        <v>37</v>
      </c>
      <c r="F52" s="39">
        <v>27.916666666666668</v>
      </c>
      <c r="G52" s="64" t="str">
        <f>IF(Faculty_Clean_Data[[#This Row],[Experience_Years]]&lt;5,"Junior",IF(Faculty_Clean_Data[[#This Row],[Experience_Years]]&gt;=15, "Senior", "Mid"))</f>
        <v>Senior</v>
      </c>
      <c r="H52" s="6" t="s">
        <v>121</v>
      </c>
      <c r="I52" s="1" t="s">
        <v>150</v>
      </c>
      <c r="J52" s="10">
        <v>1</v>
      </c>
      <c r="K5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2" s="10">
        <v>1</v>
      </c>
      <c r="M52" s="10">
        <v>1</v>
      </c>
      <c r="N52" s="10">
        <v>0</v>
      </c>
      <c r="O52" s="10">
        <v>2</v>
      </c>
      <c r="P52" s="10">
        <v>0</v>
      </c>
      <c r="Q52" s="10">
        <v>1</v>
      </c>
      <c r="R52" s="10">
        <v>10</v>
      </c>
      <c r="S52" s="39">
        <v>10</v>
      </c>
      <c r="T52" s="10">
        <v>0</v>
      </c>
      <c r="U52" s="10">
        <v>0</v>
      </c>
      <c r="V52" s="60">
        <f>SUM(Faculty_Clean_Data[[#This Row],[Teaching_Hours]],Faculty_Clean_Data[[#This Row],[Lab_Hours]],Faculty_Clean_Data[[#This Row],[Tutorials_Activity]])</f>
        <v>10</v>
      </c>
      <c r="W52" s="38">
        <v>1</v>
      </c>
      <c r="X52" s="39">
        <v>6</v>
      </c>
      <c r="Y52" s="38">
        <v>2</v>
      </c>
      <c r="Z52" s="38">
        <v>1</v>
      </c>
      <c r="AA52" s="43">
        <f t="shared" si="0"/>
        <v>9</v>
      </c>
      <c r="AB52" s="50">
        <f t="shared" si="1"/>
        <v>20</v>
      </c>
      <c r="AC5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</v>
      </c>
      <c r="AD52" s="58" t="str">
        <f>IF(Faculty_Clean_Data[[#This Row],[Check_Total]]-Faculty_Clean_Data[[#This Row],[Total_Hours]]&gt;0.5,"Mismatch","OK")</f>
        <v>OK</v>
      </c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</row>
    <row r="53" spans="1:43" s="3" customFormat="1" ht="30" x14ac:dyDescent="0.25">
      <c r="A53" s="20">
        <v>52</v>
      </c>
      <c r="B53" s="1" t="s">
        <v>212</v>
      </c>
      <c r="C53" s="6" t="s">
        <v>62</v>
      </c>
      <c r="D53" s="18" t="s">
        <v>18</v>
      </c>
      <c r="E53" s="6" t="s">
        <v>73</v>
      </c>
      <c r="F53" s="39">
        <v>3.3333333333333335</v>
      </c>
      <c r="G53" s="64" t="str">
        <f>IF(Faculty_Clean_Data[[#This Row],[Experience_Years]]&lt;5,"Junior",IF(Faculty_Clean_Data[[#This Row],[Experience_Years]]&gt;=15, "Senior", "Mid"))</f>
        <v>Junior</v>
      </c>
      <c r="H53" s="6" t="s">
        <v>133</v>
      </c>
      <c r="I53" s="1" t="s">
        <v>135</v>
      </c>
      <c r="J53" s="10">
        <v>1</v>
      </c>
      <c r="K5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3" s="10">
        <v>0</v>
      </c>
      <c r="M53" s="10">
        <v>1</v>
      </c>
      <c r="N53" s="10">
        <v>0</v>
      </c>
      <c r="O53" s="10">
        <v>1</v>
      </c>
      <c r="P53" s="10">
        <v>0</v>
      </c>
      <c r="Q53" s="10">
        <v>1</v>
      </c>
      <c r="R53" s="10">
        <v>5</v>
      </c>
      <c r="S53" s="39">
        <v>5</v>
      </c>
      <c r="T53" s="10">
        <v>0</v>
      </c>
      <c r="U53" s="10">
        <v>0</v>
      </c>
      <c r="V53" s="60">
        <f>SUM(Faculty_Clean_Data[[#This Row],[Teaching_Hours]],Faculty_Clean_Data[[#This Row],[Lab_Hours]],Faculty_Clean_Data[[#This Row],[Tutorials_Activity]])</f>
        <v>5</v>
      </c>
      <c r="W53" s="38">
        <v>1</v>
      </c>
      <c r="X53" s="39">
        <v>2</v>
      </c>
      <c r="Y53" s="38">
        <v>2</v>
      </c>
      <c r="Z53" s="38">
        <v>1</v>
      </c>
      <c r="AA53" s="43">
        <f t="shared" si="0"/>
        <v>5</v>
      </c>
      <c r="AB53" s="50">
        <f t="shared" si="1"/>
        <v>11</v>
      </c>
      <c r="AC5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11</v>
      </c>
      <c r="AD53" s="58" t="str">
        <f>IF(Faculty_Clean_Data[[#This Row],[Check_Total]]-Faculty_Clean_Data[[#This Row],[Total_Hours]]&gt;0.5,"Mismatch","OK")</f>
        <v>OK</v>
      </c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</row>
    <row r="54" spans="1:43" ht="30" x14ac:dyDescent="0.25">
      <c r="A54" s="20">
        <v>53</v>
      </c>
      <c r="B54" s="1" t="s">
        <v>213</v>
      </c>
      <c r="C54" s="1" t="s">
        <v>63</v>
      </c>
      <c r="D54" s="17" t="s">
        <v>18</v>
      </c>
      <c r="E54" s="1" t="s">
        <v>58</v>
      </c>
      <c r="F54" s="38">
        <v>10.25</v>
      </c>
      <c r="G54" s="64" t="str">
        <f>IF(Faculty_Clean_Data[[#This Row],[Experience_Years]]&lt;5,"Junior",IF(Faculty_Clean_Data[[#This Row],[Experience_Years]]&gt;=15, "Senior", "Mid"))</f>
        <v>Mid</v>
      </c>
      <c r="H54" s="1" t="s">
        <v>121</v>
      </c>
      <c r="I54" s="1" t="s">
        <v>122</v>
      </c>
      <c r="J54" s="2">
        <v>1</v>
      </c>
      <c r="K5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4" s="2">
        <v>1</v>
      </c>
      <c r="M54" s="2">
        <v>1</v>
      </c>
      <c r="N54" s="2">
        <v>0</v>
      </c>
      <c r="O54" s="2">
        <v>2</v>
      </c>
      <c r="P54" s="2">
        <v>0</v>
      </c>
      <c r="Q54" s="2">
        <v>1</v>
      </c>
      <c r="R54" s="2">
        <v>8</v>
      </c>
      <c r="S54" s="38">
        <v>8</v>
      </c>
      <c r="T54" s="2">
        <v>0</v>
      </c>
      <c r="U54" s="2">
        <v>2</v>
      </c>
      <c r="V54" s="60">
        <f>SUM(Faculty_Clean_Data[[#This Row],[Teaching_Hours]],Faculty_Clean_Data[[#This Row],[Lab_Hours]],Faculty_Clean_Data[[#This Row],[Tutorials_Activity]])</f>
        <v>10</v>
      </c>
      <c r="W54" s="38">
        <v>1</v>
      </c>
      <c r="X54" s="39">
        <v>8</v>
      </c>
      <c r="Y54" s="38">
        <v>2</v>
      </c>
      <c r="Z54" s="38">
        <v>1</v>
      </c>
      <c r="AA54" s="43">
        <f t="shared" si="0"/>
        <v>11</v>
      </c>
      <c r="AB54" s="50">
        <f t="shared" si="1"/>
        <v>22</v>
      </c>
      <c r="AC5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22</v>
      </c>
      <c r="AD54" s="58" t="str">
        <f>IF(Faculty_Clean_Data[[#This Row],[Check_Total]]-Faculty_Clean_Data[[#This Row],[Total_Hours]]&gt;0.5,"Mismatch","OK")</f>
        <v>OK</v>
      </c>
    </row>
    <row r="55" spans="1:43" ht="30" x14ac:dyDescent="0.25">
      <c r="A55" s="20">
        <v>54</v>
      </c>
      <c r="B55" s="1" t="s">
        <v>214</v>
      </c>
      <c r="C55" s="1" t="s">
        <v>64</v>
      </c>
      <c r="D55" s="17" t="s">
        <v>18</v>
      </c>
      <c r="E55" s="1" t="s">
        <v>73</v>
      </c>
      <c r="F55" s="38">
        <v>6</v>
      </c>
      <c r="G55" s="64" t="str">
        <f>IF(Faculty_Clean_Data[[#This Row],[Experience_Years]]&lt;5,"Junior",IF(Faculty_Clean_Data[[#This Row],[Experience_Years]]&gt;=15, "Senior", "Mid"))</f>
        <v>Mid</v>
      </c>
      <c r="H55" s="1" t="s">
        <v>121</v>
      </c>
      <c r="I55" s="1" t="s">
        <v>133</v>
      </c>
      <c r="J55" s="2">
        <v>3</v>
      </c>
      <c r="K5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5" s="2">
        <v>1</v>
      </c>
      <c r="M55" s="2">
        <v>1</v>
      </c>
      <c r="N55" s="2">
        <v>2</v>
      </c>
      <c r="O55" s="2">
        <v>2.9</v>
      </c>
      <c r="P55" s="2">
        <v>0</v>
      </c>
      <c r="Q55" s="2">
        <v>1</v>
      </c>
      <c r="R55" s="2">
        <v>15</v>
      </c>
      <c r="S55" s="38">
        <v>15</v>
      </c>
      <c r="T55" s="2">
        <v>3</v>
      </c>
      <c r="U55" s="2">
        <v>0</v>
      </c>
      <c r="V55" s="60">
        <f>SUM(Faculty_Clean_Data[[#This Row],[Teaching_Hours]],Faculty_Clean_Data[[#This Row],[Lab_Hours]],Faculty_Clean_Data[[#This Row],[Tutorials_Activity]])</f>
        <v>18</v>
      </c>
      <c r="W55" s="38">
        <v>1</v>
      </c>
      <c r="X55" s="39">
        <v>2</v>
      </c>
      <c r="Y55" s="38">
        <v>2</v>
      </c>
      <c r="Z55" s="38">
        <v>1</v>
      </c>
      <c r="AA55" s="43">
        <f t="shared" si="0"/>
        <v>5</v>
      </c>
      <c r="AB55" s="50">
        <f t="shared" si="1"/>
        <v>24</v>
      </c>
      <c r="AC5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55" s="58" t="str">
        <f>IF(Faculty_Clean_Data[[#This Row],[Check_Total]]-Faculty_Clean_Data[[#This Row],[Total_Hours]]&gt;0.5,"Mismatch","OK")</f>
        <v>OK</v>
      </c>
    </row>
    <row r="56" spans="1:43" ht="30" x14ac:dyDescent="0.25">
      <c r="A56" s="20">
        <v>55</v>
      </c>
      <c r="B56" s="1" t="s">
        <v>215</v>
      </c>
      <c r="C56" s="1" t="s">
        <v>65</v>
      </c>
      <c r="D56" s="17" t="s">
        <v>18</v>
      </c>
      <c r="E56" s="1" t="s">
        <v>73</v>
      </c>
      <c r="F56" s="38">
        <v>2.6666666666666665</v>
      </c>
      <c r="G56" s="64" t="str">
        <f>IF(Faculty_Clean_Data[[#This Row],[Experience_Years]]&lt;5,"Junior",IF(Faculty_Clean_Data[[#This Row],[Experience_Years]]&gt;=15, "Senior", "Mid"))</f>
        <v>Junior</v>
      </c>
      <c r="H56" s="1" t="s">
        <v>133</v>
      </c>
      <c r="I56" s="1" t="s">
        <v>135</v>
      </c>
      <c r="J56" s="2">
        <v>1</v>
      </c>
      <c r="K5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6" s="2">
        <v>0</v>
      </c>
      <c r="M56" s="2">
        <v>0</v>
      </c>
      <c r="N56" s="2">
        <v>1</v>
      </c>
      <c r="O56" s="2">
        <v>1</v>
      </c>
      <c r="P56" s="2">
        <v>0</v>
      </c>
      <c r="Q56" s="2">
        <v>1</v>
      </c>
      <c r="R56" s="2">
        <v>0</v>
      </c>
      <c r="S56" s="38">
        <v>0</v>
      </c>
      <c r="T56" s="2">
        <v>3</v>
      </c>
      <c r="U56" s="2">
        <v>0</v>
      </c>
      <c r="V56" s="60">
        <f>SUM(Faculty_Clean_Data[[#This Row],[Teaching_Hours]],Faculty_Clean_Data[[#This Row],[Lab_Hours]],Faculty_Clean_Data[[#This Row],[Tutorials_Activity]])</f>
        <v>3</v>
      </c>
      <c r="W56" s="38">
        <v>1</v>
      </c>
      <c r="X56" s="39">
        <v>2</v>
      </c>
      <c r="Y56" s="38">
        <v>2</v>
      </c>
      <c r="Z56" s="38">
        <v>1</v>
      </c>
      <c r="AA56" s="43">
        <f t="shared" si="0"/>
        <v>5</v>
      </c>
      <c r="AB56" s="50">
        <f t="shared" si="1"/>
        <v>9</v>
      </c>
      <c r="AC5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9</v>
      </c>
      <c r="AD56" s="58" t="str">
        <f>IF(Faculty_Clean_Data[[#This Row],[Check_Total]]-Faculty_Clean_Data[[#This Row],[Total_Hours]]&gt;0.5,"Mismatch","OK")</f>
        <v>OK</v>
      </c>
    </row>
    <row r="57" spans="1:43" ht="30" x14ac:dyDescent="0.25">
      <c r="A57" s="20">
        <v>56</v>
      </c>
      <c r="B57" s="1" t="s">
        <v>216</v>
      </c>
      <c r="C57" s="1" t="s">
        <v>66</v>
      </c>
      <c r="D57" s="17" t="s">
        <v>18</v>
      </c>
      <c r="E57" s="1" t="s">
        <v>73</v>
      </c>
      <c r="F57" s="38">
        <v>6.666666666666667</v>
      </c>
      <c r="G57" s="64" t="str">
        <f>IF(Faculty_Clean_Data[[#This Row],[Experience_Years]]&lt;5,"Junior",IF(Faculty_Clean_Data[[#This Row],[Experience_Years]]&gt;=15, "Senior", "Mid"))</f>
        <v>Mid</v>
      </c>
      <c r="H57" s="1" t="s">
        <v>121</v>
      </c>
      <c r="I57" s="1" t="s">
        <v>127</v>
      </c>
      <c r="J57" s="2">
        <v>1</v>
      </c>
      <c r="K5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7" s="2">
        <v>1</v>
      </c>
      <c r="M57" s="2">
        <v>1</v>
      </c>
      <c r="N57" s="2">
        <v>0</v>
      </c>
      <c r="O57" s="2">
        <v>0.6</v>
      </c>
      <c r="P57" s="2">
        <v>0</v>
      </c>
      <c r="Q57" s="2">
        <v>1</v>
      </c>
      <c r="R57" s="2">
        <v>5</v>
      </c>
      <c r="S57" s="38">
        <v>5</v>
      </c>
      <c r="T57" s="2">
        <v>0</v>
      </c>
      <c r="U57" s="2">
        <v>0</v>
      </c>
      <c r="V57" s="60">
        <f>SUM(Faculty_Clean_Data[[#This Row],[Teaching_Hours]],Faculty_Clean_Data[[#This Row],[Lab_Hours]],Faculty_Clean_Data[[#This Row],[Tutorials_Activity]])</f>
        <v>5</v>
      </c>
      <c r="W57" s="38">
        <v>1</v>
      </c>
      <c r="X57" s="39">
        <v>3</v>
      </c>
      <c r="Y57" s="38">
        <v>2</v>
      </c>
      <c r="Z57" s="38">
        <v>1</v>
      </c>
      <c r="AA57" s="43">
        <f t="shared" si="0"/>
        <v>6</v>
      </c>
      <c r="AB57" s="50">
        <f t="shared" si="1"/>
        <v>12</v>
      </c>
      <c r="AC5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57" s="58" t="str">
        <f>IF(Faculty_Clean_Data[[#This Row],[Check_Total]]-Faculty_Clean_Data[[#This Row],[Total_Hours]]&gt;0.5,"Mismatch","OK")</f>
        <v>OK</v>
      </c>
    </row>
    <row r="58" spans="1:43" s="7" customFormat="1" ht="30" x14ac:dyDescent="0.25">
      <c r="A58" s="20">
        <v>57</v>
      </c>
      <c r="B58" s="1" t="s">
        <v>217</v>
      </c>
      <c r="C58" s="6" t="s">
        <v>67</v>
      </c>
      <c r="D58" s="18" t="s">
        <v>18</v>
      </c>
      <c r="E58" s="6" t="s">
        <v>73</v>
      </c>
      <c r="F58" s="39">
        <v>8.5</v>
      </c>
      <c r="G58" s="64" t="str">
        <f>IF(Faculty_Clean_Data[[#This Row],[Experience_Years]]&lt;5,"Junior",IF(Faculty_Clean_Data[[#This Row],[Experience_Years]]&gt;=15, "Senior", "Mid"))</f>
        <v>Mid</v>
      </c>
      <c r="H58" s="6" t="s">
        <v>137</v>
      </c>
      <c r="I58" s="6" t="s">
        <v>138</v>
      </c>
      <c r="J58" s="10">
        <v>2</v>
      </c>
      <c r="K5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8" s="10">
        <v>1</v>
      </c>
      <c r="M58" s="10">
        <v>0</v>
      </c>
      <c r="N58" s="10">
        <v>1</v>
      </c>
      <c r="O58" s="10">
        <v>2</v>
      </c>
      <c r="P58" s="10">
        <v>0</v>
      </c>
      <c r="Q58" s="10">
        <v>1</v>
      </c>
      <c r="R58" s="10">
        <v>8</v>
      </c>
      <c r="S58" s="39">
        <v>8</v>
      </c>
      <c r="T58" s="10">
        <v>6</v>
      </c>
      <c r="U58" s="10">
        <v>2</v>
      </c>
      <c r="V58" s="60">
        <f>SUM(Faculty_Clean_Data[[#This Row],[Teaching_Hours]],Faculty_Clean_Data[[#This Row],[Lab_Hours]],Faculty_Clean_Data[[#This Row],[Tutorials_Activity]])</f>
        <v>16</v>
      </c>
      <c r="W58" s="38">
        <v>1</v>
      </c>
      <c r="X58" s="39">
        <v>2</v>
      </c>
      <c r="Y58" s="38">
        <v>2</v>
      </c>
      <c r="Z58" s="38">
        <v>1</v>
      </c>
      <c r="AA58" s="43">
        <f t="shared" si="0"/>
        <v>5</v>
      </c>
      <c r="AB58" s="50">
        <f t="shared" si="1"/>
        <v>22</v>
      </c>
      <c r="AC5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22</v>
      </c>
      <c r="AD58" s="58" t="str">
        <f>IF(Faculty_Clean_Data[[#This Row],[Check_Total]]-Faculty_Clean_Data[[#This Row],[Total_Hours]]&gt;0.5,"Mismatch","OK")</f>
        <v>OK</v>
      </c>
    </row>
    <row r="59" spans="1:43" ht="30" x14ac:dyDescent="0.25">
      <c r="A59" s="20">
        <v>58</v>
      </c>
      <c r="B59" s="1" t="s">
        <v>218</v>
      </c>
      <c r="C59" s="1" t="s">
        <v>68</v>
      </c>
      <c r="D59" s="17" t="s">
        <v>18</v>
      </c>
      <c r="E59" s="1" t="s">
        <v>73</v>
      </c>
      <c r="F59" s="38">
        <v>3</v>
      </c>
      <c r="G59" s="64" t="str">
        <f>IF(Faculty_Clean_Data[[#This Row],[Experience_Years]]&lt;5,"Junior",IF(Faculty_Clean_Data[[#This Row],[Experience_Years]]&gt;=15, "Senior", "Mid"))</f>
        <v>Junior</v>
      </c>
      <c r="H59" s="1" t="s">
        <v>133</v>
      </c>
      <c r="I59" s="1" t="s">
        <v>133</v>
      </c>
      <c r="J59" s="2">
        <v>1</v>
      </c>
      <c r="K5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59" s="2">
        <v>0</v>
      </c>
      <c r="M59" s="2">
        <v>0</v>
      </c>
      <c r="N59" s="2">
        <v>1</v>
      </c>
      <c r="O59" s="2">
        <v>1</v>
      </c>
      <c r="P59" s="2">
        <v>0</v>
      </c>
      <c r="Q59" s="2">
        <v>1</v>
      </c>
      <c r="R59" s="2">
        <v>6</v>
      </c>
      <c r="S59" s="38">
        <v>6</v>
      </c>
      <c r="T59" s="2">
        <v>0</v>
      </c>
      <c r="U59" s="2">
        <v>0</v>
      </c>
      <c r="V59" s="60">
        <f>SUM(Faculty_Clean_Data[[#This Row],[Teaching_Hours]],Faculty_Clean_Data[[#This Row],[Lab_Hours]],Faculty_Clean_Data[[#This Row],[Tutorials_Activity]])</f>
        <v>6</v>
      </c>
      <c r="W59" s="38">
        <v>1</v>
      </c>
      <c r="X59" s="39"/>
      <c r="Y59" s="38">
        <v>2</v>
      </c>
      <c r="Z59" s="38">
        <v>1</v>
      </c>
      <c r="AA59" s="43">
        <f t="shared" si="0"/>
        <v>3</v>
      </c>
      <c r="AB59" s="50">
        <f t="shared" si="1"/>
        <v>10</v>
      </c>
      <c r="AC5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10</v>
      </c>
      <c r="AD59" s="58" t="str">
        <f>IF(Faculty_Clean_Data[[#This Row],[Check_Total]]-Faculty_Clean_Data[[#This Row],[Total_Hours]]&gt;0.5,"Mismatch","OK")</f>
        <v>OK</v>
      </c>
    </row>
    <row r="60" spans="1:43" ht="30" x14ac:dyDescent="0.25">
      <c r="A60" s="20">
        <v>59</v>
      </c>
      <c r="B60" s="1" t="s">
        <v>219</v>
      </c>
      <c r="C60" s="1" t="s">
        <v>69</v>
      </c>
      <c r="D60" s="17" t="s">
        <v>18</v>
      </c>
      <c r="E60" s="1" t="s">
        <v>73</v>
      </c>
      <c r="F60" s="38">
        <v>2.4166666666666665</v>
      </c>
      <c r="G60" s="64" t="str">
        <f>IF(Faculty_Clean_Data[[#This Row],[Experience_Years]]&lt;5,"Junior",IF(Faculty_Clean_Data[[#This Row],[Experience_Years]]&gt;=15, "Senior", "Mid"))</f>
        <v>Junior</v>
      </c>
      <c r="H60" s="1" t="s">
        <v>137</v>
      </c>
      <c r="I60" s="1" t="s">
        <v>138</v>
      </c>
      <c r="J60" s="2">
        <v>1</v>
      </c>
      <c r="K6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0" s="2">
        <v>1</v>
      </c>
      <c r="M60" s="2">
        <v>0</v>
      </c>
      <c r="N60" s="2">
        <v>1</v>
      </c>
      <c r="O60" s="2">
        <v>2</v>
      </c>
      <c r="P60" s="2">
        <v>0</v>
      </c>
      <c r="Q60" s="2">
        <v>1</v>
      </c>
      <c r="R60" s="2">
        <v>0</v>
      </c>
      <c r="S60" s="38">
        <v>0</v>
      </c>
      <c r="T60" s="2">
        <v>6</v>
      </c>
      <c r="U60" s="2">
        <v>0</v>
      </c>
      <c r="V60" s="60">
        <f>SUM(Faculty_Clean_Data[[#This Row],[Teaching_Hours]],Faculty_Clean_Data[[#This Row],[Lab_Hours]],Faculty_Clean_Data[[#This Row],[Tutorials_Activity]])</f>
        <v>6</v>
      </c>
      <c r="W60" s="38">
        <v>1</v>
      </c>
      <c r="X60" s="39">
        <v>5</v>
      </c>
      <c r="Y60" s="38">
        <v>2</v>
      </c>
      <c r="Z60" s="38">
        <v>1</v>
      </c>
      <c r="AA60" s="43">
        <f t="shared" si="0"/>
        <v>8</v>
      </c>
      <c r="AB60" s="50">
        <f t="shared" si="1"/>
        <v>15</v>
      </c>
      <c r="AC6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15</v>
      </c>
      <c r="AD60" s="58" t="str">
        <f>IF(Faculty_Clean_Data[[#This Row],[Check_Total]]-Faculty_Clean_Data[[#This Row],[Total_Hours]]&gt;0.5,"Mismatch","OK")</f>
        <v>OK</v>
      </c>
    </row>
    <row r="61" spans="1:43" ht="30" x14ac:dyDescent="0.25">
      <c r="A61" s="20">
        <v>60</v>
      </c>
      <c r="B61" s="1" t="s">
        <v>220</v>
      </c>
      <c r="C61" s="1" t="s">
        <v>70</v>
      </c>
      <c r="D61" s="17" t="s">
        <v>18</v>
      </c>
      <c r="E61" s="1" t="s">
        <v>73</v>
      </c>
      <c r="F61" s="38">
        <v>2.9166666666666665</v>
      </c>
      <c r="G61" s="64" t="str">
        <f>IF(Faculty_Clean_Data[[#This Row],[Experience_Years]]&lt;5,"Junior",IF(Faculty_Clean_Data[[#This Row],[Experience_Years]]&gt;=15, "Senior", "Mid"))</f>
        <v>Junior</v>
      </c>
      <c r="H61" s="1" t="s">
        <v>137</v>
      </c>
      <c r="I61" s="1" t="s">
        <v>138</v>
      </c>
      <c r="J61" s="2">
        <v>2</v>
      </c>
      <c r="K6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1" s="2">
        <v>1</v>
      </c>
      <c r="M61" s="2">
        <v>0</v>
      </c>
      <c r="N61" s="2">
        <v>2</v>
      </c>
      <c r="O61" s="2">
        <v>2</v>
      </c>
      <c r="P61" s="2">
        <v>0</v>
      </c>
      <c r="Q61" s="2">
        <v>1</v>
      </c>
      <c r="R61" s="2">
        <v>8</v>
      </c>
      <c r="S61" s="38">
        <v>8</v>
      </c>
      <c r="T61" s="2">
        <v>6</v>
      </c>
      <c r="U61" s="2">
        <v>2</v>
      </c>
      <c r="V61" s="60">
        <f>SUM(Faculty_Clean_Data[[#This Row],[Teaching_Hours]],Faculty_Clean_Data[[#This Row],[Lab_Hours]],Faculty_Clean_Data[[#This Row],[Tutorials_Activity]])</f>
        <v>16</v>
      </c>
      <c r="W61" s="38">
        <v>1</v>
      </c>
      <c r="X61" s="39"/>
      <c r="Y61" s="38">
        <v>2</v>
      </c>
      <c r="Z61" s="38">
        <v>1</v>
      </c>
      <c r="AA61" s="43">
        <f t="shared" si="0"/>
        <v>3</v>
      </c>
      <c r="AB61" s="50">
        <f t="shared" si="1"/>
        <v>20</v>
      </c>
      <c r="AC6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</v>
      </c>
      <c r="AD61" s="58" t="str">
        <f>IF(Faculty_Clean_Data[[#This Row],[Check_Total]]-Faculty_Clean_Data[[#This Row],[Total_Hours]]&gt;0.5,"Mismatch","OK")</f>
        <v>OK</v>
      </c>
    </row>
    <row r="62" spans="1:43" ht="30" x14ac:dyDescent="0.25">
      <c r="A62" s="20">
        <v>61</v>
      </c>
      <c r="B62" s="1" t="s">
        <v>221</v>
      </c>
      <c r="C62" s="1" t="s">
        <v>71</v>
      </c>
      <c r="D62" s="17" t="s">
        <v>18</v>
      </c>
      <c r="E62" s="1" t="s">
        <v>73</v>
      </c>
      <c r="F62" s="38">
        <v>3</v>
      </c>
      <c r="G62" s="64" t="str">
        <f>IF(Faculty_Clean_Data[[#This Row],[Experience_Years]]&lt;5,"Junior",IF(Faculty_Clean_Data[[#This Row],[Experience_Years]]&gt;=15, "Senior", "Mid"))</f>
        <v>Junior</v>
      </c>
      <c r="H62" s="1" t="s">
        <v>137</v>
      </c>
      <c r="I62" s="1" t="s">
        <v>138</v>
      </c>
      <c r="J62" s="2">
        <v>2</v>
      </c>
      <c r="K62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62" s="2">
        <v>1</v>
      </c>
      <c r="M62" s="2">
        <v>0</v>
      </c>
      <c r="N62" s="2">
        <v>2</v>
      </c>
      <c r="O62" s="2">
        <v>3</v>
      </c>
      <c r="P62" s="2">
        <v>0</v>
      </c>
      <c r="Q62" s="2">
        <v>1</v>
      </c>
      <c r="R62" s="2">
        <v>0</v>
      </c>
      <c r="S62" s="38">
        <v>0</v>
      </c>
      <c r="T62" s="2">
        <v>9</v>
      </c>
      <c r="U62" s="2">
        <v>0</v>
      </c>
      <c r="V62" s="60">
        <f>SUM(Faculty_Clean_Data[[#This Row],[Teaching_Hours]],Faculty_Clean_Data[[#This Row],[Lab_Hours]],Faculty_Clean_Data[[#This Row],[Tutorials_Activity]])</f>
        <v>9</v>
      </c>
      <c r="W62" s="38">
        <v>1</v>
      </c>
      <c r="X62" s="39"/>
      <c r="Y62" s="38">
        <v>2</v>
      </c>
      <c r="Z62" s="38">
        <v>1</v>
      </c>
      <c r="AA62" s="43">
        <f t="shared" si="0"/>
        <v>3</v>
      </c>
      <c r="AB62" s="50">
        <f t="shared" si="1"/>
        <v>13</v>
      </c>
      <c r="AC6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13</v>
      </c>
      <c r="AD62" s="58" t="str">
        <f>IF(Faculty_Clean_Data[[#This Row],[Check_Total]]-Faculty_Clean_Data[[#This Row],[Total_Hours]]&gt;0.5,"Mismatch","OK")</f>
        <v>OK</v>
      </c>
    </row>
    <row r="63" spans="1:43" ht="30" x14ac:dyDescent="0.25">
      <c r="A63" s="20">
        <v>62</v>
      </c>
      <c r="B63" s="1" t="s">
        <v>222</v>
      </c>
      <c r="C63" s="1" t="s">
        <v>277</v>
      </c>
      <c r="D63" s="17" t="s">
        <v>18</v>
      </c>
      <c r="E63" s="1" t="s">
        <v>37</v>
      </c>
      <c r="F63" s="38">
        <v>4.666666666666667</v>
      </c>
      <c r="G63" s="64" t="str">
        <f>IF(Faculty_Clean_Data[[#This Row],[Experience_Years]]&lt;5,"Junior",IF(Faculty_Clean_Data[[#This Row],[Experience_Years]]&gt;=15, "Senior", "Mid"))</f>
        <v>Junior</v>
      </c>
      <c r="H63" s="1" t="s">
        <v>121</v>
      </c>
      <c r="I63" s="1" t="s">
        <v>129</v>
      </c>
      <c r="J63" s="2">
        <v>1</v>
      </c>
      <c r="K6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3" s="2">
        <v>1</v>
      </c>
      <c r="M63" s="2">
        <v>1</v>
      </c>
      <c r="N63" s="2">
        <v>0</v>
      </c>
      <c r="O63" s="2">
        <v>1</v>
      </c>
      <c r="P63" s="2">
        <v>0</v>
      </c>
      <c r="Q63" s="2">
        <v>1</v>
      </c>
      <c r="R63" s="2">
        <v>5</v>
      </c>
      <c r="S63" s="38">
        <v>5</v>
      </c>
      <c r="T63" s="2">
        <v>3</v>
      </c>
      <c r="U63" s="2">
        <v>0</v>
      </c>
      <c r="V63" s="60">
        <f>SUM(Faculty_Clean_Data[[#This Row],[Teaching_Hours]],Faculty_Clean_Data[[#This Row],[Lab_Hours]],Faculty_Clean_Data[[#This Row],[Tutorials_Activity]])</f>
        <v>8</v>
      </c>
      <c r="W63" s="38">
        <v>1</v>
      </c>
      <c r="X63" s="39">
        <v>4</v>
      </c>
      <c r="Y63" s="38">
        <v>2</v>
      </c>
      <c r="Z63" s="38">
        <v>1</v>
      </c>
      <c r="AA63" s="43">
        <f t="shared" si="0"/>
        <v>7</v>
      </c>
      <c r="AB63" s="50">
        <f t="shared" si="1"/>
        <v>16</v>
      </c>
      <c r="AC6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16</v>
      </c>
      <c r="AD63" s="58" t="str">
        <f>IF(Faculty_Clean_Data[[#This Row],[Check_Total]]-Faculty_Clean_Data[[#This Row],[Total_Hours]]&gt;0.5,"Mismatch","OK")</f>
        <v>OK</v>
      </c>
    </row>
    <row r="64" spans="1:43" s="7" customFormat="1" ht="30" x14ac:dyDescent="0.25">
      <c r="A64" s="20">
        <v>63</v>
      </c>
      <c r="B64" s="1" t="s">
        <v>223</v>
      </c>
      <c r="C64" s="6" t="s">
        <v>72</v>
      </c>
      <c r="D64" s="18" t="s">
        <v>18</v>
      </c>
      <c r="E64" s="6" t="s">
        <v>73</v>
      </c>
      <c r="F64" s="39">
        <v>5.916666666666667</v>
      </c>
      <c r="G64" s="64" t="str">
        <f>IF(Faculty_Clean_Data[[#This Row],[Experience_Years]]&lt;5,"Junior",IF(Faculty_Clean_Data[[#This Row],[Experience_Years]]&gt;=15, "Senior", "Mid"))</f>
        <v>Mid</v>
      </c>
      <c r="H64" s="6" t="s">
        <v>137</v>
      </c>
      <c r="I64" s="6" t="s">
        <v>138</v>
      </c>
      <c r="J64" s="10">
        <v>1</v>
      </c>
      <c r="K6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4" s="10">
        <v>1</v>
      </c>
      <c r="M64" s="10">
        <v>0</v>
      </c>
      <c r="N64" s="10">
        <v>1</v>
      </c>
      <c r="O64" s="10">
        <v>2</v>
      </c>
      <c r="P64" s="10">
        <v>0</v>
      </c>
      <c r="Q64" s="10">
        <v>1</v>
      </c>
      <c r="R64" s="10">
        <v>0</v>
      </c>
      <c r="S64" s="39">
        <v>0</v>
      </c>
      <c r="T64" s="10">
        <v>6</v>
      </c>
      <c r="U64" s="10">
        <v>0</v>
      </c>
      <c r="V64" s="60">
        <f>SUM(Faculty_Clean_Data[[#This Row],[Teaching_Hours]],Faculty_Clean_Data[[#This Row],[Lab_Hours]],Faculty_Clean_Data[[#This Row],[Tutorials_Activity]])</f>
        <v>6</v>
      </c>
      <c r="W64" s="38">
        <v>1</v>
      </c>
      <c r="X64" s="39">
        <v>2</v>
      </c>
      <c r="Y64" s="38">
        <v>2</v>
      </c>
      <c r="Z64" s="38">
        <v>1</v>
      </c>
      <c r="AA64" s="43">
        <f t="shared" si="0"/>
        <v>5</v>
      </c>
      <c r="AB64" s="50">
        <f t="shared" si="1"/>
        <v>12</v>
      </c>
      <c r="AC6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64" s="58" t="str">
        <f>IF(Faculty_Clean_Data[[#This Row],[Check_Total]]-Faculty_Clean_Data[[#This Row],[Total_Hours]]&gt;0.5,"Mismatch","OK")</f>
        <v>OK</v>
      </c>
    </row>
    <row r="65" spans="1:30" ht="30" x14ac:dyDescent="0.25">
      <c r="A65" s="20">
        <v>64</v>
      </c>
      <c r="B65" s="1" t="s">
        <v>224</v>
      </c>
      <c r="C65" s="1" t="s">
        <v>74</v>
      </c>
      <c r="D65" s="17" t="s">
        <v>18</v>
      </c>
      <c r="E65" s="1" t="s">
        <v>73</v>
      </c>
      <c r="F65" s="38">
        <v>15.166666666666666</v>
      </c>
      <c r="G65" s="64" t="str">
        <f>IF(Faculty_Clean_Data[[#This Row],[Experience_Years]]&lt;5,"Junior",IF(Faculty_Clean_Data[[#This Row],[Experience_Years]]&gt;=15, "Senior", "Mid"))</f>
        <v>Senior</v>
      </c>
      <c r="H65" s="1" t="s">
        <v>137</v>
      </c>
      <c r="I65" s="1" t="s">
        <v>138</v>
      </c>
      <c r="J65" s="2">
        <v>1</v>
      </c>
      <c r="K6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5" s="2">
        <v>1</v>
      </c>
      <c r="M65" s="2">
        <v>0</v>
      </c>
      <c r="N65" s="2">
        <v>1</v>
      </c>
      <c r="O65" s="2">
        <v>2</v>
      </c>
      <c r="P65" s="2">
        <v>0</v>
      </c>
      <c r="Q65" s="2">
        <v>1</v>
      </c>
      <c r="R65" s="2">
        <v>0</v>
      </c>
      <c r="S65" s="38">
        <v>0</v>
      </c>
      <c r="T65" s="2">
        <v>6</v>
      </c>
      <c r="U65" s="2">
        <v>0</v>
      </c>
      <c r="V65" s="60">
        <f>SUM(Faculty_Clean_Data[[#This Row],[Teaching_Hours]],Faculty_Clean_Data[[#This Row],[Lab_Hours]],Faculty_Clean_Data[[#This Row],[Tutorials_Activity]])</f>
        <v>6</v>
      </c>
      <c r="W65" s="38">
        <v>1</v>
      </c>
      <c r="X65" s="39">
        <v>2</v>
      </c>
      <c r="Y65" s="38">
        <v>2</v>
      </c>
      <c r="Z65" s="38">
        <v>1</v>
      </c>
      <c r="AA65" s="43">
        <f t="shared" si="0"/>
        <v>5</v>
      </c>
      <c r="AB65" s="50">
        <f t="shared" si="1"/>
        <v>12</v>
      </c>
      <c r="AC6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65" s="58" t="str">
        <f>IF(Faculty_Clean_Data[[#This Row],[Check_Total]]-Faculty_Clean_Data[[#This Row],[Total_Hours]]&gt;0.5,"Mismatch","OK")</f>
        <v>OK</v>
      </c>
    </row>
    <row r="66" spans="1:30" ht="30" x14ac:dyDescent="0.25">
      <c r="A66" s="20">
        <v>65</v>
      </c>
      <c r="B66" s="1" t="s">
        <v>225</v>
      </c>
      <c r="C66" s="1" t="s">
        <v>75</v>
      </c>
      <c r="D66" s="17" t="s">
        <v>18</v>
      </c>
      <c r="E66" s="1" t="s">
        <v>73</v>
      </c>
      <c r="F66" s="38">
        <v>1.4166666666666667</v>
      </c>
      <c r="G66" s="64" t="str">
        <f>IF(Faculty_Clean_Data[[#This Row],[Experience_Years]]&lt;5,"Junior",IF(Faculty_Clean_Data[[#This Row],[Experience_Years]]&gt;=15, "Senior", "Mid"))</f>
        <v>Junior</v>
      </c>
      <c r="H66" s="1" t="s">
        <v>137</v>
      </c>
      <c r="I66" s="1" t="s">
        <v>138</v>
      </c>
      <c r="J66" s="2">
        <v>2</v>
      </c>
      <c r="K6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6" s="2">
        <v>0</v>
      </c>
      <c r="M66" s="2">
        <v>0</v>
      </c>
      <c r="N66" s="2">
        <v>1</v>
      </c>
      <c r="O66" s="2">
        <v>2</v>
      </c>
      <c r="P66" s="2">
        <v>0</v>
      </c>
      <c r="Q66" s="2">
        <v>1</v>
      </c>
      <c r="R66" s="2">
        <v>4</v>
      </c>
      <c r="S66" s="38">
        <v>4</v>
      </c>
      <c r="T66" s="2">
        <v>3</v>
      </c>
      <c r="U66" s="2">
        <v>1</v>
      </c>
      <c r="V66" s="60">
        <f>SUM(Faculty_Clean_Data[[#This Row],[Teaching_Hours]],Faculty_Clean_Data[[#This Row],[Lab_Hours]],Faculty_Clean_Data[[#This Row],[Tutorials_Activity]])</f>
        <v>8</v>
      </c>
      <c r="W66" s="38">
        <v>1</v>
      </c>
      <c r="X66" s="39">
        <v>2</v>
      </c>
      <c r="Y66" s="38">
        <v>2</v>
      </c>
      <c r="Z66" s="38">
        <v>1</v>
      </c>
      <c r="AA66" s="43">
        <f t="shared" ref="AA66:AA110" si="2">SUM(X66:Z66)</f>
        <v>5</v>
      </c>
      <c r="AB66" s="50">
        <f t="shared" ref="AB66:AB110" si="3">SUM(V66,W66,AA66)</f>
        <v>14</v>
      </c>
      <c r="AC6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66" s="58" t="str">
        <f>IF(Faculty_Clean_Data[[#This Row],[Check_Total]]-Faculty_Clean_Data[[#This Row],[Total_Hours]]&gt;0.5,"Mismatch","OK")</f>
        <v>OK</v>
      </c>
    </row>
    <row r="67" spans="1:30" ht="30" x14ac:dyDescent="0.25">
      <c r="A67" s="20">
        <v>66</v>
      </c>
      <c r="B67" s="1" t="s">
        <v>226</v>
      </c>
      <c r="C67" s="1" t="s">
        <v>76</v>
      </c>
      <c r="D67" s="17" t="s">
        <v>18</v>
      </c>
      <c r="E67" s="1" t="s">
        <v>41</v>
      </c>
      <c r="F67" s="38">
        <v>11.833333333333334</v>
      </c>
      <c r="G67" s="64" t="str">
        <f>IF(Faculty_Clean_Data[[#This Row],[Experience_Years]]&lt;5,"Junior",IF(Faculty_Clean_Data[[#This Row],[Experience_Years]]&gt;=15, "Senior", "Mid"))</f>
        <v>Mid</v>
      </c>
      <c r="H67" s="1" t="s">
        <v>121</v>
      </c>
      <c r="I67" s="1" t="s">
        <v>129</v>
      </c>
      <c r="J67" s="2">
        <v>2</v>
      </c>
      <c r="K6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7" s="2">
        <v>0</v>
      </c>
      <c r="M67" s="2">
        <v>1</v>
      </c>
      <c r="N67" s="2">
        <v>1</v>
      </c>
      <c r="O67" s="2">
        <v>2</v>
      </c>
      <c r="P67" s="2">
        <v>0</v>
      </c>
      <c r="Q67" s="2">
        <v>1</v>
      </c>
      <c r="R67" s="2">
        <v>6</v>
      </c>
      <c r="S67" s="38">
        <v>6</v>
      </c>
      <c r="T67" s="2">
        <v>3</v>
      </c>
      <c r="U67" s="2">
        <v>0</v>
      </c>
      <c r="V67" s="60">
        <f>SUM(Faculty_Clean_Data[[#This Row],[Teaching_Hours]],Faculty_Clean_Data[[#This Row],[Lab_Hours]],Faculty_Clean_Data[[#This Row],[Tutorials_Activity]])</f>
        <v>9</v>
      </c>
      <c r="W67" s="38">
        <v>1</v>
      </c>
      <c r="X67" s="39">
        <v>6</v>
      </c>
      <c r="Y67" s="38">
        <v>2</v>
      </c>
      <c r="Z67" s="38">
        <v>1</v>
      </c>
      <c r="AA67" s="43">
        <f t="shared" si="2"/>
        <v>9</v>
      </c>
      <c r="AB67" s="50">
        <f t="shared" si="3"/>
        <v>19</v>
      </c>
      <c r="AC6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19</v>
      </c>
      <c r="AD67" s="58" t="str">
        <f>IF(Faculty_Clean_Data[[#This Row],[Check_Total]]-Faculty_Clean_Data[[#This Row],[Total_Hours]]&gt;0.5,"Mismatch","OK")</f>
        <v>OK</v>
      </c>
    </row>
    <row r="68" spans="1:30" ht="30" x14ac:dyDescent="0.25">
      <c r="A68" s="20">
        <v>67</v>
      </c>
      <c r="B68" s="1" t="s">
        <v>227</v>
      </c>
      <c r="C68" s="1" t="s">
        <v>77</v>
      </c>
      <c r="D68" s="17" t="s">
        <v>18</v>
      </c>
      <c r="E68" s="1" t="s">
        <v>73</v>
      </c>
      <c r="F68" s="38">
        <v>1.4166666666666667</v>
      </c>
      <c r="G68" s="64" t="str">
        <f>IF(Faculty_Clean_Data[[#This Row],[Experience_Years]]&lt;5,"Junior",IF(Faculty_Clean_Data[[#This Row],[Experience_Years]]&gt;=15, "Senior", "Mid"))</f>
        <v>Junior</v>
      </c>
      <c r="H68" s="1" t="s">
        <v>137</v>
      </c>
      <c r="I68" s="1" t="s">
        <v>138</v>
      </c>
      <c r="J68" s="2">
        <v>2</v>
      </c>
      <c r="K6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8" s="2">
        <v>0</v>
      </c>
      <c r="M68" s="2">
        <v>0</v>
      </c>
      <c r="N68" s="2">
        <v>1</v>
      </c>
      <c r="O68" s="2">
        <v>2</v>
      </c>
      <c r="P68" s="2">
        <v>0</v>
      </c>
      <c r="Q68" s="2">
        <v>1</v>
      </c>
      <c r="R68" s="2">
        <v>4</v>
      </c>
      <c r="S68" s="38">
        <v>4</v>
      </c>
      <c r="T68" s="2">
        <v>3</v>
      </c>
      <c r="U68" s="2">
        <v>1</v>
      </c>
      <c r="V68" s="60">
        <f>SUM(Faculty_Clean_Data[[#This Row],[Teaching_Hours]],Faculty_Clean_Data[[#This Row],[Lab_Hours]],Faculty_Clean_Data[[#This Row],[Tutorials_Activity]])</f>
        <v>8</v>
      </c>
      <c r="W68" s="38">
        <v>1</v>
      </c>
      <c r="X68" s="39">
        <v>2</v>
      </c>
      <c r="Y68" s="38">
        <v>2</v>
      </c>
      <c r="Z68" s="38">
        <v>1</v>
      </c>
      <c r="AA68" s="43">
        <f t="shared" si="2"/>
        <v>5</v>
      </c>
      <c r="AB68" s="50">
        <f t="shared" si="3"/>
        <v>14</v>
      </c>
      <c r="AC6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68" s="58" t="str">
        <f>IF(Faculty_Clean_Data[[#This Row],[Check_Total]]-Faculty_Clean_Data[[#This Row],[Total_Hours]]&gt;0.5,"Mismatch","OK")</f>
        <v>OK</v>
      </c>
    </row>
    <row r="69" spans="1:30" ht="30" x14ac:dyDescent="0.25">
      <c r="A69" s="20">
        <v>68</v>
      </c>
      <c r="B69" s="1" t="s">
        <v>228</v>
      </c>
      <c r="C69" s="1" t="s">
        <v>78</v>
      </c>
      <c r="D69" s="17" t="s">
        <v>18</v>
      </c>
      <c r="E69" s="1" t="s">
        <v>73</v>
      </c>
      <c r="F69" s="38">
        <v>5</v>
      </c>
      <c r="G69" s="64" t="str">
        <f>IF(Faculty_Clean_Data[[#This Row],[Experience_Years]]&lt;5,"Junior",IF(Faculty_Clean_Data[[#This Row],[Experience_Years]]&gt;=15, "Senior", "Mid"))</f>
        <v>Mid</v>
      </c>
      <c r="H69" s="1" t="s">
        <v>121</v>
      </c>
      <c r="I69" s="1" t="s">
        <v>128</v>
      </c>
      <c r="J69" s="2">
        <v>2</v>
      </c>
      <c r="K6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69" s="2">
        <v>0</v>
      </c>
      <c r="M69" s="2">
        <v>1</v>
      </c>
      <c r="N69" s="2">
        <v>1</v>
      </c>
      <c r="O69" s="2">
        <v>1.45</v>
      </c>
      <c r="P69" s="2">
        <v>0</v>
      </c>
      <c r="Q69" s="2">
        <v>1</v>
      </c>
      <c r="R69" s="2">
        <v>11</v>
      </c>
      <c r="S69" s="38">
        <v>11</v>
      </c>
      <c r="T69" s="2">
        <v>6</v>
      </c>
      <c r="U69" s="2">
        <v>0</v>
      </c>
      <c r="V69" s="60">
        <f>SUM(Faculty_Clean_Data[[#This Row],[Teaching_Hours]],Faculty_Clean_Data[[#This Row],[Lab_Hours]],Faculty_Clean_Data[[#This Row],[Tutorials_Activity]])</f>
        <v>17</v>
      </c>
      <c r="W69" s="38">
        <v>1</v>
      </c>
      <c r="X69" s="39">
        <v>3</v>
      </c>
      <c r="Y69" s="38">
        <v>2</v>
      </c>
      <c r="Z69" s="38">
        <v>1</v>
      </c>
      <c r="AA69" s="43">
        <f t="shared" si="2"/>
        <v>6</v>
      </c>
      <c r="AB69" s="50">
        <f t="shared" si="3"/>
        <v>24</v>
      </c>
      <c r="AC6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69" s="58" t="str">
        <f>IF(Faculty_Clean_Data[[#This Row],[Check_Total]]-Faculty_Clean_Data[[#This Row],[Total_Hours]]&gt;0.5,"Mismatch","OK")</f>
        <v>OK</v>
      </c>
    </row>
    <row r="70" spans="1:30" ht="30" x14ac:dyDescent="0.25">
      <c r="A70" s="20">
        <v>69</v>
      </c>
      <c r="B70" s="1" t="s">
        <v>229</v>
      </c>
      <c r="C70" s="1" t="s">
        <v>79</v>
      </c>
      <c r="D70" s="17" t="s">
        <v>18</v>
      </c>
      <c r="E70" s="1" t="s">
        <v>37</v>
      </c>
      <c r="F70" s="38">
        <v>11</v>
      </c>
      <c r="G70" s="64" t="str">
        <f>IF(Faculty_Clean_Data[[#This Row],[Experience_Years]]&lt;5,"Junior",IF(Faculty_Clean_Data[[#This Row],[Experience_Years]]&gt;=15, "Senior", "Mid"))</f>
        <v>Mid</v>
      </c>
      <c r="H70" s="1" t="s">
        <v>137</v>
      </c>
      <c r="I70" s="1" t="s">
        <v>138</v>
      </c>
      <c r="J70" s="2">
        <v>1</v>
      </c>
      <c r="K7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0" s="2">
        <v>1</v>
      </c>
      <c r="M70" s="2">
        <v>0</v>
      </c>
      <c r="N70" s="2">
        <v>1</v>
      </c>
      <c r="O70" s="2">
        <v>3</v>
      </c>
      <c r="P70" s="2">
        <v>0</v>
      </c>
      <c r="Q70" s="2">
        <v>1</v>
      </c>
      <c r="R70" s="2">
        <v>12</v>
      </c>
      <c r="S70" s="38">
        <v>12</v>
      </c>
      <c r="T70" s="2">
        <v>0</v>
      </c>
      <c r="U70" s="2">
        <v>3</v>
      </c>
      <c r="V70" s="60">
        <f>SUM(Faculty_Clean_Data[[#This Row],[Teaching_Hours]],Faculty_Clean_Data[[#This Row],[Lab_Hours]],Faculty_Clean_Data[[#This Row],[Tutorials_Activity]])</f>
        <v>15</v>
      </c>
      <c r="W70" s="38">
        <v>1</v>
      </c>
      <c r="X70" s="39">
        <v>3</v>
      </c>
      <c r="Y70" s="38">
        <v>2</v>
      </c>
      <c r="Z70" s="38">
        <v>1</v>
      </c>
      <c r="AA70" s="43">
        <f t="shared" si="2"/>
        <v>6</v>
      </c>
      <c r="AB70" s="50">
        <f t="shared" si="3"/>
        <v>22</v>
      </c>
      <c r="AC7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22</v>
      </c>
      <c r="AD70" s="58" t="str">
        <f>IF(Faculty_Clean_Data[[#This Row],[Check_Total]]-Faculty_Clean_Data[[#This Row],[Total_Hours]]&gt;0.5,"Mismatch","OK")</f>
        <v>OK</v>
      </c>
    </row>
    <row r="71" spans="1:30" ht="30" x14ac:dyDescent="0.25">
      <c r="A71" s="20">
        <v>70</v>
      </c>
      <c r="B71" s="1" t="s">
        <v>230</v>
      </c>
      <c r="C71" s="1" t="s">
        <v>80</v>
      </c>
      <c r="D71" s="17" t="s">
        <v>18</v>
      </c>
      <c r="E71" s="1" t="s">
        <v>73</v>
      </c>
      <c r="F71" s="38">
        <v>3.25</v>
      </c>
      <c r="G71" s="64" t="str">
        <f>IF(Faculty_Clean_Data[[#This Row],[Experience_Years]]&lt;5,"Junior",IF(Faculty_Clean_Data[[#This Row],[Experience_Years]]&gt;=15, "Senior", "Mid"))</f>
        <v>Junior</v>
      </c>
      <c r="H71" s="1" t="s">
        <v>137</v>
      </c>
      <c r="I71" s="1" t="s">
        <v>138</v>
      </c>
      <c r="J71" s="2">
        <v>2</v>
      </c>
      <c r="K7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1" s="2">
        <v>0</v>
      </c>
      <c r="M71" s="2">
        <v>0</v>
      </c>
      <c r="N71" s="2">
        <v>2</v>
      </c>
      <c r="O71" s="2">
        <v>2</v>
      </c>
      <c r="P71" s="2">
        <v>0</v>
      </c>
      <c r="Q71" s="2">
        <v>1</v>
      </c>
      <c r="R71" s="2">
        <v>4</v>
      </c>
      <c r="S71" s="38">
        <v>4</v>
      </c>
      <c r="T71" s="2">
        <v>3</v>
      </c>
      <c r="U71" s="2">
        <v>1</v>
      </c>
      <c r="V71" s="60">
        <f>SUM(Faculty_Clean_Data[[#This Row],[Teaching_Hours]],Faculty_Clean_Data[[#This Row],[Lab_Hours]],Faculty_Clean_Data[[#This Row],[Tutorials_Activity]])</f>
        <v>8</v>
      </c>
      <c r="W71" s="38">
        <v>1</v>
      </c>
      <c r="X71" s="39">
        <v>1</v>
      </c>
      <c r="Y71" s="38">
        <v>2</v>
      </c>
      <c r="Z71" s="38">
        <v>1</v>
      </c>
      <c r="AA71" s="43">
        <f t="shared" si="2"/>
        <v>4</v>
      </c>
      <c r="AB71" s="50">
        <f t="shared" si="3"/>
        <v>13</v>
      </c>
      <c r="AC7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13</v>
      </c>
      <c r="AD71" s="58" t="str">
        <f>IF(Faculty_Clean_Data[[#This Row],[Check_Total]]-Faculty_Clean_Data[[#This Row],[Total_Hours]]&gt;0.5,"Mismatch","OK")</f>
        <v>OK</v>
      </c>
    </row>
    <row r="72" spans="1:30" ht="30" x14ac:dyDescent="0.25">
      <c r="A72" s="20">
        <v>71</v>
      </c>
      <c r="B72" s="1" t="s">
        <v>231</v>
      </c>
      <c r="C72" s="1" t="s">
        <v>81</v>
      </c>
      <c r="D72" s="17" t="s">
        <v>18</v>
      </c>
      <c r="E72" s="1" t="s">
        <v>73</v>
      </c>
      <c r="F72" s="38">
        <v>1.8333333333333333</v>
      </c>
      <c r="G72" s="64" t="str">
        <f>IF(Faculty_Clean_Data[[#This Row],[Experience_Years]]&lt;5,"Junior",IF(Faculty_Clean_Data[[#This Row],[Experience_Years]]&gt;=15, "Senior", "Mid"))</f>
        <v>Junior</v>
      </c>
      <c r="H72" s="1" t="s">
        <v>137</v>
      </c>
      <c r="I72" s="1" t="s">
        <v>138</v>
      </c>
      <c r="J72" s="2">
        <v>1</v>
      </c>
      <c r="K7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2" s="2">
        <v>1</v>
      </c>
      <c r="M72" s="2">
        <v>0</v>
      </c>
      <c r="N72" s="2">
        <v>1</v>
      </c>
      <c r="O72" s="2">
        <v>3</v>
      </c>
      <c r="P72" s="2">
        <v>0</v>
      </c>
      <c r="Q72" s="2">
        <v>1</v>
      </c>
      <c r="R72" s="2">
        <v>0</v>
      </c>
      <c r="S72" s="38">
        <v>0</v>
      </c>
      <c r="T72" s="2">
        <v>9</v>
      </c>
      <c r="U72" s="2">
        <v>0</v>
      </c>
      <c r="V72" s="60">
        <f>SUM(Faculty_Clean_Data[[#This Row],[Teaching_Hours]],Faculty_Clean_Data[[#This Row],[Lab_Hours]],Faculty_Clean_Data[[#This Row],[Tutorials_Activity]])</f>
        <v>9</v>
      </c>
      <c r="W72" s="38">
        <v>1</v>
      </c>
      <c r="X72" s="39">
        <v>3</v>
      </c>
      <c r="Y72" s="38">
        <v>2</v>
      </c>
      <c r="Z72" s="38">
        <v>1</v>
      </c>
      <c r="AA72" s="43">
        <f t="shared" si="2"/>
        <v>6</v>
      </c>
      <c r="AB72" s="50">
        <f t="shared" si="3"/>
        <v>16</v>
      </c>
      <c r="AC7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16</v>
      </c>
      <c r="AD72" s="58" t="str">
        <f>IF(Faculty_Clean_Data[[#This Row],[Check_Total]]-Faculty_Clean_Data[[#This Row],[Total_Hours]]&gt;0.5,"Mismatch","OK")</f>
        <v>OK</v>
      </c>
    </row>
    <row r="73" spans="1:30" ht="30" x14ac:dyDescent="0.25">
      <c r="A73" s="20">
        <v>72</v>
      </c>
      <c r="B73" s="1" t="s">
        <v>232</v>
      </c>
      <c r="C73" s="1" t="s">
        <v>82</v>
      </c>
      <c r="D73" s="17" t="s">
        <v>18</v>
      </c>
      <c r="E73" s="1" t="s">
        <v>41</v>
      </c>
      <c r="F73" s="38">
        <v>24</v>
      </c>
      <c r="G73" s="64" t="str">
        <f>IF(Faculty_Clean_Data[[#This Row],[Experience_Years]]&lt;5,"Junior",IF(Faculty_Clean_Data[[#This Row],[Experience_Years]]&gt;=15, "Senior", "Mid"))</f>
        <v>Senior</v>
      </c>
      <c r="H73" s="1" t="s">
        <v>121</v>
      </c>
      <c r="I73" s="1" t="s">
        <v>122</v>
      </c>
      <c r="J73" s="2">
        <v>2</v>
      </c>
      <c r="K7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3" s="2">
        <v>0</v>
      </c>
      <c r="M73" s="2">
        <v>1</v>
      </c>
      <c r="N73" s="2">
        <v>1</v>
      </c>
      <c r="O73" s="2">
        <v>3</v>
      </c>
      <c r="P73" s="2">
        <v>0</v>
      </c>
      <c r="Q73" s="2">
        <v>1</v>
      </c>
      <c r="R73" s="2">
        <v>14</v>
      </c>
      <c r="S73" s="38">
        <v>14</v>
      </c>
      <c r="T73" s="2">
        <v>0</v>
      </c>
      <c r="U73" s="2">
        <v>2</v>
      </c>
      <c r="V73" s="60">
        <f>SUM(Faculty_Clean_Data[[#This Row],[Teaching_Hours]],Faculty_Clean_Data[[#This Row],[Lab_Hours]],Faculty_Clean_Data[[#This Row],[Tutorials_Activity]])</f>
        <v>16</v>
      </c>
      <c r="W73" s="38">
        <v>1</v>
      </c>
      <c r="X73" s="39">
        <v>2</v>
      </c>
      <c r="Y73" s="38">
        <v>2</v>
      </c>
      <c r="Z73" s="38">
        <v>1</v>
      </c>
      <c r="AA73" s="43">
        <f t="shared" si="2"/>
        <v>5</v>
      </c>
      <c r="AB73" s="50">
        <f t="shared" si="3"/>
        <v>22</v>
      </c>
      <c r="AC7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22</v>
      </c>
      <c r="AD73" s="58" t="str">
        <f>IF(Faculty_Clean_Data[[#This Row],[Check_Total]]-Faculty_Clean_Data[[#This Row],[Total_Hours]]&gt;0.5,"Mismatch","OK")</f>
        <v>OK</v>
      </c>
    </row>
    <row r="74" spans="1:30" ht="30" x14ac:dyDescent="0.25">
      <c r="A74" s="20">
        <v>73</v>
      </c>
      <c r="B74" s="1" t="s">
        <v>233</v>
      </c>
      <c r="C74" s="1" t="s">
        <v>83</v>
      </c>
      <c r="D74" s="17" t="s">
        <v>18</v>
      </c>
      <c r="E74" s="1" t="s">
        <v>73</v>
      </c>
      <c r="F74" s="38">
        <v>7.25</v>
      </c>
      <c r="G74" s="64" t="str">
        <f>IF(Faculty_Clean_Data[[#This Row],[Experience_Years]]&lt;5,"Junior",IF(Faculty_Clean_Data[[#This Row],[Experience_Years]]&gt;=15, "Senior", "Mid"))</f>
        <v>Mid</v>
      </c>
      <c r="H74" s="1" t="s">
        <v>137</v>
      </c>
      <c r="I74" s="1" t="s">
        <v>138</v>
      </c>
      <c r="J74" s="2">
        <v>1</v>
      </c>
      <c r="K7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4" s="2">
        <v>1</v>
      </c>
      <c r="M74" s="2">
        <v>0</v>
      </c>
      <c r="N74" s="2">
        <v>1</v>
      </c>
      <c r="O74" s="2">
        <v>3</v>
      </c>
      <c r="P74" s="2">
        <v>0</v>
      </c>
      <c r="Q74" s="2">
        <v>1</v>
      </c>
      <c r="R74" s="2">
        <v>12</v>
      </c>
      <c r="S74" s="38">
        <v>12</v>
      </c>
      <c r="T74" s="2">
        <v>0</v>
      </c>
      <c r="U74" s="2">
        <v>3</v>
      </c>
      <c r="V74" s="60">
        <f>SUM(Faculty_Clean_Data[[#This Row],[Teaching_Hours]],Faculty_Clean_Data[[#This Row],[Lab_Hours]],Faculty_Clean_Data[[#This Row],[Tutorials_Activity]])</f>
        <v>15</v>
      </c>
      <c r="W74" s="38">
        <v>1</v>
      </c>
      <c r="X74" s="39">
        <v>3</v>
      </c>
      <c r="Y74" s="38">
        <v>2</v>
      </c>
      <c r="Z74" s="38">
        <v>1</v>
      </c>
      <c r="AA74" s="43">
        <f t="shared" si="2"/>
        <v>6</v>
      </c>
      <c r="AB74" s="50">
        <f t="shared" si="3"/>
        <v>22</v>
      </c>
      <c r="AC7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22</v>
      </c>
      <c r="AD74" s="58" t="str">
        <f>IF(Faculty_Clean_Data[[#This Row],[Check_Total]]-Faculty_Clean_Data[[#This Row],[Total_Hours]]&gt;0.5,"Mismatch","OK")</f>
        <v>OK</v>
      </c>
    </row>
    <row r="75" spans="1:30" ht="30" x14ac:dyDescent="0.25">
      <c r="A75" s="20">
        <v>74</v>
      </c>
      <c r="B75" s="1" t="s">
        <v>234</v>
      </c>
      <c r="C75" s="1" t="s">
        <v>278</v>
      </c>
      <c r="D75" s="17" t="s">
        <v>18</v>
      </c>
      <c r="E75" s="1" t="s">
        <v>37</v>
      </c>
      <c r="F75" s="38">
        <v>15</v>
      </c>
      <c r="G75" s="64" t="str">
        <f>IF(Faculty_Clean_Data[[#This Row],[Experience_Years]]&lt;5,"Junior",IF(Faculty_Clean_Data[[#This Row],[Experience_Years]]&gt;=15, "Senior", "Mid"))</f>
        <v>Senior</v>
      </c>
      <c r="H75" s="1" t="s">
        <v>121</v>
      </c>
      <c r="I75" s="1" t="s">
        <v>130</v>
      </c>
      <c r="J75" s="2">
        <v>1</v>
      </c>
      <c r="K7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5" s="2">
        <v>0</v>
      </c>
      <c r="M75" s="2">
        <v>1</v>
      </c>
      <c r="N75" s="2">
        <v>0</v>
      </c>
      <c r="O75" s="2">
        <v>1</v>
      </c>
      <c r="P75" s="2">
        <v>0</v>
      </c>
      <c r="Q75" s="2">
        <v>1</v>
      </c>
      <c r="R75" s="2">
        <v>6</v>
      </c>
      <c r="S75" s="38">
        <v>6</v>
      </c>
      <c r="T75" s="2">
        <v>0</v>
      </c>
      <c r="U75" s="2">
        <v>0</v>
      </c>
      <c r="V75" s="60">
        <f>SUM(Faculty_Clean_Data[[#This Row],[Teaching_Hours]],Faculty_Clean_Data[[#This Row],[Lab_Hours]],Faculty_Clean_Data[[#This Row],[Tutorials_Activity]])</f>
        <v>6</v>
      </c>
      <c r="W75" s="38">
        <v>1</v>
      </c>
      <c r="X75" s="39">
        <v>9</v>
      </c>
      <c r="Y75" s="38">
        <v>2</v>
      </c>
      <c r="Z75" s="38">
        <v>1</v>
      </c>
      <c r="AA75" s="43">
        <f t="shared" si="2"/>
        <v>12</v>
      </c>
      <c r="AB75" s="50">
        <f t="shared" si="3"/>
        <v>19</v>
      </c>
      <c r="AC7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19</v>
      </c>
      <c r="AD75" s="58" t="str">
        <f>IF(Faculty_Clean_Data[[#This Row],[Check_Total]]-Faculty_Clean_Data[[#This Row],[Total_Hours]]&gt;0.5,"Mismatch","OK")</f>
        <v>OK</v>
      </c>
    </row>
    <row r="76" spans="1:30" x14ac:dyDescent="0.25">
      <c r="A76" s="20">
        <v>75</v>
      </c>
      <c r="B76" s="1" t="s">
        <v>235</v>
      </c>
      <c r="C76" s="1" t="s">
        <v>279</v>
      </c>
      <c r="D76" s="1" t="s">
        <v>15</v>
      </c>
      <c r="E76" s="1" t="s">
        <v>37</v>
      </c>
      <c r="F76" s="38">
        <v>15.083333333333334</v>
      </c>
      <c r="G76" s="64" t="str">
        <f>IF(Faculty_Clean_Data[[#This Row],[Experience_Years]]&lt;5,"Junior",IF(Faculty_Clean_Data[[#This Row],[Experience_Years]]&gt;=15, "Senior", "Mid"))</f>
        <v>Senior</v>
      </c>
      <c r="H76" s="1" t="s">
        <v>137</v>
      </c>
      <c r="I76" s="1" t="s">
        <v>138</v>
      </c>
      <c r="J76" s="2">
        <v>2</v>
      </c>
      <c r="K7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6" s="2">
        <v>1</v>
      </c>
      <c r="M76" s="2">
        <v>0</v>
      </c>
      <c r="N76" s="2">
        <v>2</v>
      </c>
      <c r="O76" s="2">
        <v>2</v>
      </c>
      <c r="P76" s="2">
        <v>0</v>
      </c>
      <c r="Q76" s="2">
        <v>1</v>
      </c>
      <c r="R76" s="2">
        <v>8</v>
      </c>
      <c r="S76" s="38">
        <v>8</v>
      </c>
      <c r="T76" s="2">
        <v>6</v>
      </c>
      <c r="U76" s="2">
        <v>2</v>
      </c>
      <c r="V76" s="60">
        <f>SUM(Faculty_Clean_Data[[#This Row],[Teaching_Hours]],Faculty_Clean_Data[[#This Row],[Lab_Hours]],Faculty_Clean_Data[[#This Row],[Tutorials_Activity]])</f>
        <v>16</v>
      </c>
      <c r="W76" s="38">
        <v>3</v>
      </c>
      <c r="X76" s="39">
        <v>12</v>
      </c>
      <c r="Y76" s="38">
        <v>6</v>
      </c>
      <c r="Z76" s="38">
        <v>1</v>
      </c>
      <c r="AA76" s="43">
        <f t="shared" si="2"/>
        <v>19</v>
      </c>
      <c r="AB76" s="50">
        <f t="shared" si="3"/>
        <v>38</v>
      </c>
      <c r="AC7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38</v>
      </c>
      <c r="AD76" s="58" t="str">
        <f>IF(Faculty_Clean_Data[[#This Row],[Check_Total]]-Faculty_Clean_Data[[#This Row],[Total_Hours]]&gt;0.5,"Mismatch","OK")</f>
        <v>OK</v>
      </c>
    </row>
    <row r="77" spans="1:30" ht="30" x14ac:dyDescent="0.25">
      <c r="A77" s="20">
        <v>76</v>
      </c>
      <c r="B77" s="1" t="s">
        <v>236</v>
      </c>
      <c r="C77" s="1" t="s">
        <v>283</v>
      </c>
      <c r="D77" s="17" t="s">
        <v>18</v>
      </c>
      <c r="E77" s="1" t="s">
        <v>37</v>
      </c>
      <c r="F77" s="38">
        <v>13</v>
      </c>
      <c r="G77" s="64" t="str">
        <f>IF(Faculty_Clean_Data[[#This Row],[Experience_Years]]&lt;5,"Junior",IF(Faculty_Clean_Data[[#This Row],[Experience_Years]]&gt;=15, "Senior", "Mid"))</f>
        <v>Mid</v>
      </c>
      <c r="H77" s="1" t="s">
        <v>121</v>
      </c>
      <c r="I77" s="1" t="s">
        <v>131</v>
      </c>
      <c r="J77" s="2">
        <v>1</v>
      </c>
      <c r="K7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7" s="2">
        <v>0</v>
      </c>
      <c r="M77" s="2">
        <v>1</v>
      </c>
      <c r="N77" s="2">
        <v>0</v>
      </c>
      <c r="O77" s="2">
        <v>1</v>
      </c>
      <c r="P77" s="2">
        <v>0</v>
      </c>
      <c r="Q77" s="2">
        <v>1</v>
      </c>
      <c r="R77" s="2">
        <v>5</v>
      </c>
      <c r="S77" s="38">
        <v>5</v>
      </c>
      <c r="T77" s="2">
        <v>6</v>
      </c>
      <c r="U77" s="2">
        <v>0</v>
      </c>
      <c r="V77" s="60">
        <f>SUM(Faculty_Clean_Data[[#This Row],[Teaching_Hours]],Faculty_Clean_Data[[#This Row],[Lab_Hours]],Faculty_Clean_Data[[#This Row],[Tutorials_Activity]])</f>
        <v>11</v>
      </c>
      <c r="W77" s="38">
        <v>1</v>
      </c>
      <c r="X77" s="39">
        <v>3</v>
      </c>
      <c r="Y77" s="38">
        <v>2</v>
      </c>
      <c r="Z77" s="38">
        <v>1</v>
      </c>
      <c r="AA77" s="43">
        <f t="shared" si="2"/>
        <v>6</v>
      </c>
      <c r="AB77" s="50">
        <f t="shared" si="3"/>
        <v>18</v>
      </c>
      <c r="AC7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18</v>
      </c>
      <c r="AD77" s="58" t="str">
        <f>IF(Faculty_Clean_Data[[#This Row],[Check_Total]]-Faculty_Clean_Data[[#This Row],[Total_Hours]]&gt;0.5,"Mismatch","OK")</f>
        <v>OK</v>
      </c>
    </row>
    <row r="78" spans="1:30" ht="30" x14ac:dyDescent="0.25">
      <c r="A78" s="20">
        <v>77</v>
      </c>
      <c r="B78" s="1" t="s">
        <v>237</v>
      </c>
      <c r="C78" s="1" t="s">
        <v>84</v>
      </c>
      <c r="D78" s="17" t="s">
        <v>18</v>
      </c>
      <c r="E78" s="1" t="s">
        <v>73</v>
      </c>
      <c r="F78" s="38">
        <v>4.916666666666667</v>
      </c>
      <c r="G78" s="64" t="str">
        <f>IF(Faculty_Clean_Data[[#This Row],[Experience_Years]]&lt;5,"Junior",IF(Faculty_Clean_Data[[#This Row],[Experience_Years]]&gt;=15, "Senior", "Mid"))</f>
        <v>Junior</v>
      </c>
      <c r="H78" s="1" t="s">
        <v>137</v>
      </c>
      <c r="I78" s="1" t="s">
        <v>138</v>
      </c>
      <c r="J78" s="2">
        <v>1</v>
      </c>
      <c r="K7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78" s="2">
        <v>1</v>
      </c>
      <c r="M78" s="2">
        <v>0</v>
      </c>
      <c r="N78" s="2">
        <v>1</v>
      </c>
      <c r="O78" s="2">
        <v>3</v>
      </c>
      <c r="P78" s="2">
        <v>0</v>
      </c>
      <c r="Q78" s="2">
        <v>1</v>
      </c>
      <c r="R78" s="2">
        <v>12</v>
      </c>
      <c r="S78" s="38">
        <v>12</v>
      </c>
      <c r="T78" s="2">
        <v>0</v>
      </c>
      <c r="U78" s="2">
        <v>3</v>
      </c>
      <c r="V78" s="60">
        <f>SUM(Faculty_Clean_Data[[#This Row],[Teaching_Hours]],Faculty_Clean_Data[[#This Row],[Lab_Hours]],Faculty_Clean_Data[[#This Row],[Tutorials_Activity]])</f>
        <v>15</v>
      </c>
      <c r="W78" s="38">
        <v>1</v>
      </c>
      <c r="X78" s="39">
        <v>3</v>
      </c>
      <c r="Y78" s="38">
        <v>2</v>
      </c>
      <c r="Z78" s="38">
        <v>1</v>
      </c>
      <c r="AA78" s="43">
        <f t="shared" si="2"/>
        <v>6</v>
      </c>
      <c r="AB78" s="50">
        <f t="shared" si="3"/>
        <v>22</v>
      </c>
      <c r="AC7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22</v>
      </c>
      <c r="AD78" s="58" t="str">
        <f>IF(Faculty_Clean_Data[[#This Row],[Check_Total]]-Faculty_Clean_Data[[#This Row],[Total_Hours]]&gt;0.5,"Mismatch","OK")</f>
        <v>OK</v>
      </c>
    </row>
    <row r="79" spans="1:30" ht="30" x14ac:dyDescent="0.25">
      <c r="A79" s="20">
        <v>78</v>
      </c>
      <c r="B79" s="1" t="s">
        <v>238</v>
      </c>
      <c r="C79" s="1" t="s">
        <v>280</v>
      </c>
      <c r="D79" s="17" t="s">
        <v>18</v>
      </c>
      <c r="E79" s="1" t="s">
        <v>37</v>
      </c>
      <c r="F79" s="38">
        <v>8.5</v>
      </c>
      <c r="G79" s="64" t="str">
        <f>IF(Faculty_Clean_Data[[#This Row],[Experience_Years]]&lt;5,"Junior",IF(Faculty_Clean_Data[[#This Row],[Experience_Years]]&gt;=15, "Senior", "Mid"))</f>
        <v>Mid</v>
      </c>
      <c r="H79" s="1" t="s">
        <v>121</v>
      </c>
      <c r="I79" s="1" t="s">
        <v>132</v>
      </c>
      <c r="J79" s="2">
        <v>2</v>
      </c>
      <c r="K79" s="66" t="str">
        <f>IF(AND(Faculty_Clean_Data[[#This Row],[No_of_Subjects_Allotted]]&gt;=2,Faculty_Clean_Data[[#This Row],[Same_subject_Different_sections]]=1,Faculty_Clean_Data[[#This Row],[Class_Size]]&gt;=3),"High Load","Low Load")</f>
        <v>High Load</v>
      </c>
      <c r="L79" s="2">
        <v>1</v>
      </c>
      <c r="M79" s="2">
        <v>1</v>
      </c>
      <c r="N79" s="2">
        <v>0</v>
      </c>
      <c r="O79" s="2">
        <v>3.6</v>
      </c>
      <c r="P79" s="2">
        <v>0</v>
      </c>
      <c r="Q79" s="2">
        <v>1</v>
      </c>
      <c r="R79" s="2">
        <v>15</v>
      </c>
      <c r="S79" s="38">
        <v>6</v>
      </c>
      <c r="T79" s="2">
        <v>9</v>
      </c>
      <c r="U79" s="2">
        <v>0</v>
      </c>
      <c r="V79" s="60">
        <f>SUM(Faculty_Clean_Data[[#This Row],[Teaching_Hours]],Faculty_Clean_Data[[#This Row],[Lab_Hours]],Faculty_Clean_Data[[#This Row],[Tutorials_Activity]])</f>
        <v>15</v>
      </c>
      <c r="W79" s="38">
        <v>1</v>
      </c>
      <c r="X79" s="39">
        <v>6</v>
      </c>
      <c r="Y79" s="38">
        <v>2</v>
      </c>
      <c r="Z79" s="38">
        <v>1</v>
      </c>
      <c r="AA79" s="43">
        <f t="shared" si="2"/>
        <v>9</v>
      </c>
      <c r="AB79" s="50">
        <f t="shared" si="3"/>
        <v>25</v>
      </c>
      <c r="AC7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25</v>
      </c>
      <c r="AD79" s="58" t="str">
        <f>IF(Faculty_Clean_Data[[#This Row],[Check_Total]]-Faculty_Clean_Data[[#This Row],[Total_Hours]]&gt;0.5,"Mismatch","OK")</f>
        <v>OK</v>
      </c>
    </row>
    <row r="80" spans="1:30" ht="30" x14ac:dyDescent="0.25">
      <c r="A80" s="20">
        <v>79</v>
      </c>
      <c r="B80" s="1" t="s">
        <v>239</v>
      </c>
      <c r="C80" s="1" t="s">
        <v>85</v>
      </c>
      <c r="D80" s="17" t="s">
        <v>18</v>
      </c>
      <c r="E80" s="1" t="s">
        <v>73</v>
      </c>
      <c r="F80" s="38">
        <v>6.083333333333333</v>
      </c>
      <c r="G80" s="64" t="str">
        <f>IF(Faculty_Clean_Data[[#This Row],[Experience_Years]]&lt;5,"Junior",IF(Faculty_Clean_Data[[#This Row],[Experience_Years]]&gt;=15, "Senior", "Mid"))</f>
        <v>Mid</v>
      </c>
      <c r="H80" s="1" t="s">
        <v>137</v>
      </c>
      <c r="I80" s="1" t="s">
        <v>138</v>
      </c>
      <c r="J80" s="2">
        <v>1</v>
      </c>
      <c r="K8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0" s="2">
        <v>1</v>
      </c>
      <c r="M80" s="2">
        <v>0</v>
      </c>
      <c r="N80" s="2">
        <v>1</v>
      </c>
      <c r="O80" s="2">
        <v>3</v>
      </c>
      <c r="P80" s="2">
        <v>0</v>
      </c>
      <c r="Q80" s="2">
        <v>1</v>
      </c>
      <c r="R80" s="2">
        <v>0</v>
      </c>
      <c r="S80" s="38">
        <v>0</v>
      </c>
      <c r="T80" s="2">
        <v>9</v>
      </c>
      <c r="U80" s="2">
        <v>0</v>
      </c>
      <c r="V80" s="60">
        <f>SUM(Faculty_Clean_Data[[#This Row],[Teaching_Hours]],Faculty_Clean_Data[[#This Row],[Lab_Hours]],Faculty_Clean_Data[[#This Row],[Tutorials_Activity]])</f>
        <v>9</v>
      </c>
      <c r="W80" s="38">
        <v>1</v>
      </c>
      <c r="X80" s="39">
        <v>2</v>
      </c>
      <c r="Y80" s="38">
        <v>2</v>
      </c>
      <c r="Z80" s="38">
        <v>1</v>
      </c>
      <c r="AA80" s="43">
        <f t="shared" si="2"/>
        <v>5</v>
      </c>
      <c r="AB80" s="50">
        <f t="shared" si="3"/>
        <v>15</v>
      </c>
      <c r="AC8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15</v>
      </c>
      <c r="AD80" s="58" t="str">
        <f>IF(Faculty_Clean_Data[[#This Row],[Check_Total]]-Faculty_Clean_Data[[#This Row],[Total_Hours]]&gt;0.5,"Mismatch","OK")</f>
        <v>OK</v>
      </c>
    </row>
    <row r="81" spans="1:30" ht="30" x14ac:dyDescent="0.25">
      <c r="A81" s="20">
        <v>80</v>
      </c>
      <c r="B81" s="1" t="s">
        <v>240</v>
      </c>
      <c r="C81" s="1" t="s">
        <v>86</v>
      </c>
      <c r="D81" s="17" t="s">
        <v>18</v>
      </c>
      <c r="E81" s="1" t="s">
        <v>73</v>
      </c>
      <c r="F81" s="38">
        <v>8</v>
      </c>
      <c r="G81" s="64" t="str">
        <f>IF(Faculty_Clean_Data[[#This Row],[Experience_Years]]&lt;5,"Junior",IF(Faculty_Clean_Data[[#This Row],[Experience_Years]]&gt;=15, "Senior", "Mid"))</f>
        <v>Mid</v>
      </c>
      <c r="H81" s="1" t="s">
        <v>137</v>
      </c>
      <c r="I81" s="1" t="s">
        <v>138</v>
      </c>
      <c r="J81" s="2">
        <v>2</v>
      </c>
      <c r="K8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1" s="2">
        <v>1</v>
      </c>
      <c r="M81" s="2">
        <v>0</v>
      </c>
      <c r="N81" s="2">
        <v>2</v>
      </c>
      <c r="O81" s="2">
        <v>2</v>
      </c>
      <c r="P81" s="2">
        <v>0</v>
      </c>
      <c r="Q81" s="2">
        <v>1</v>
      </c>
      <c r="R81" s="2">
        <v>8</v>
      </c>
      <c r="S81" s="38">
        <v>8</v>
      </c>
      <c r="T81" s="2">
        <v>6</v>
      </c>
      <c r="U81" s="2">
        <v>2</v>
      </c>
      <c r="V81" s="60">
        <f>SUM(Faculty_Clean_Data[[#This Row],[Teaching_Hours]],Faculty_Clean_Data[[#This Row],[Lab_Hours]],Faculty_Clean_Data[[#This Row],[Tutorials_Activity]])</f>
        <v>16</v>
      </c>
      <c r="W81" s="38">
        <v>1</v>
      </c>
      <c r="X81" s="39">
        <v>3</v>
      </c>
      <c r="Y81" s="38">
        <v>2</v>
      </c>
      <c r="Z81" s="38">
        <v>1</v>
      </c>
      <c r="AA81" s="43">
        <f t="shared" si="2"/>
        <v>6</v>
      </c>
      <c r="AB81" s="50">
        <f t="shared" si="3"/>
        <v>23</v>
      </c>
      <c r="AC8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23</v>
      </c>
      <c r="AD81" s="58" t="str">
        <f>IF(Faculty_Clean_Data[[#This Row],[Check_Total]]-Faculty_Clean_Data[[#This Row],[Total_Hours]]&gt;0.5,"Mismatch","OK")</f>
        <v>OK</v>
      </c>
    </row>
    <row r="82" spans="1:30" ht="30" x14ac:dyDescent="0.25">
      <c r="A82" s="20">
        <v>81</v>
      </c>
      <c r="B82" s="1" t="s">
        <v>241</v>
      </c>
      <c r="C82" s="1" t="s">
        <v>87</v>
      </c>
      <c r="D82" s="17" t="s">
        <v>18</v>
      </c>
      <c r="E82" s="1" t="s">
        <v>73</v>
      </c>
      <c r="F82" s="38">
        <v>3.0833333333333335</v>
      </c>
      <c r="G82" s="64" t="str">
        <f>IF(Faculty_Clean_Data[[#This Row],[Experience_Years]]&lt;5,"Junior",IF(Faculty_Clean_Data[[#This Row],[Experience_Years]]&gt;=15, "Senior", "Mid"))</f>
        <v>Junior</v>
      </c>
      <c r="H82" s="1" t="s">
        <v>121</v>
      </c>
      <c r="I82" s="1" t="s">
        <v>138</v>
      </c>
      <c r="J82" s="2">
        <v>2</v>
      </c>
      <c r="K8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2" s="2">
        <v>0</v>
      </c>
      <c r="M82" s="2">
        <v>1</v>
      </c>
      <c r="N82" s="2">
        <v>0</v>
      </c>
      <c r="O82" s="2">
        <v>0.6</v>
      </c>
      <c r="P82" s="2">
        <v>0</v>
      </c>
      <c r="Q82" s="2">
        <v>1</v>
      </c>
      <c r="R82" s="2">
        <v>5</v>
      </c>
      <c r="S82" s="38">
        <v>5</v>
      </c>
      <c r="T82" s="2">
        <v>2</v>
      </c>
      <c r="U82" s="2">
        <v>0</v>
      </c>
      <c r="V82" s="60">
        <f>SUM(Faculty_Clean_Data[[#This Row],[Teaching_Hours]],Faculty_Clean_Data[[#This Row],[Lab_Hours]],Faculty_Clean_Data[[#This Row],[Tutorials_Activity]])</f>
        <v>7</v>
      </c>
      <c r="W82" s="38">
        <v>1</v>
      </c>
      <c r="X82" s="39">
        <v>2</v>
      </c>
      <c r="Y82" s="38">
        <v>2</v>
      </c>
      <c r="Z82" s="38">
        <v>1</v>
      </c>
      <c r="AA82" s="43">
        <f t="shared" si="2"/>
        <v>5</v>
      </c>
      <c r="AB82" s="50">
        <f t="shared" si="3"/>
        <v>13</v>
      </c>
      <c r="AC8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13</v>
      </c>
      <c r="AD82" s="58" t="str">
        <f>IF(Faculty_Clean_Data[[#This Row],[Check_Total]]-Faculty_Clean_Data[[#This Row],[Total_Hours]]&gt;0.5,"Mismatch","OK")</f>
        <v>OK</v>
      </c>
    </row>
    <row r="83" spans="1:30" ht="30" x14ac:dyDescent="0.25">
      <c r="A83" s="20">
        <v>82</v>
      </c>
      <c r="B83" s="1" t="s">
        <v>242</v>
      </c>
      <c r="C83" s="1" t="s">
        <v>88</v>
      </c>
      <c r="D83" s="17" t="s">
        <v>18</v>
      </c>
      <c r="E83" s="1" t="s">
        <v>39</v>
      </c>
      <c r="F83" s="38">
        <v>26</v>
      </c>
      <c r="G83" s="64" t="str">
        <f>IF(Faculty_Clean_Data[[#This Row],[Experience_Years]]&lt;5,"Junior",IF(Faculty_Clean_Data[[#This Row],[Experience_Years]]&gt;=15, "Senior", "Mid"))</f>
        <v>Senior</v>
      </c>
      <c r="H83" s="1" t="s">
        <v>121</v>
      </c>
      <c r="I83" s="1" t="s">
        <v>126</v>
      </c>
      <c r="J83" s="2">
        <v>2</v>
      </c>
      <c r="K8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3" s="2">
        <v>1</v>
      </c>
      <c r="M83" s="2">
        <v>2</v>
      </c>
      <c r="N83" s="2">
        <v>0</v>
      </c>
      <c r="O83" s="2">
        <v>2</v>
      </c>
      <c r="P83" s="2">
        <v>0</v>
      </c>
      <c r="Q83" s="2">
        <v>1</v>
      </c>
      <c r="R83" s="2">
        <v>8</v>
      </c>
      <c r="S83" s="38">
        <v>8</v>
      </c>
      <c r="T83" s="2">
        <v>7</v>
      </c>
      <c r="U83" s="2">
        <v>0</v>
      </c>
      <c r="V83" s="60">
        <f>SUM(Faculty_Clean_Data[[#This Row],[Teaching_Hours]],Faculty_Clean_Data[[#This Row],[Lab_Hours]],Faculty_Clean_Data[[#This Row],[Tutorials_Activity]])</f>
        <v>15</v>
      </c>
      <c r="W83" s="38">
        <v>1</v>
      </c>
      <c r="X83" s="39">
        <v>2</v>
      </c>
      <c r="Y83" s="38">
        <v>2</v>
      </c>
      <c r="Z83" s="38">
        <v>1</v>
      </c>
      <c r="AA83" s="43">
        <f t="shared" si="2"/>
        <v>5</v>
      </c>
      <c r="AB83" s="50">
        <f t="shared" si="3"/>
        <v>21</v>
      </c>
      <c r="AC8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21</v>
      </c>
      <c r="AD83" s="58" t="str">
        <f>IF(Faculty_Clean_Data[[#This Row],[Check_Total]]-Faculty_Clean_Data[[#This Row],[Total_Hours]]&gt;0.5,"Mismatch","OK")</f>
        <v>OK</v>
      </c>
    </row>
    <row r="84" spans="1:30" ht="30" x14ac:dyDescent="0.25">
      <c r="A84" s="20">
        <v>83</v>
      </c>
      <c r="B84" s="1" t="s">
        <v>243</v>
      </c>
      <c r="C84" s="1" t="s">
        <v>89</v>
      </c>
      <c r="D84" s="17" t="s">
        <v>18</v>
      </c>
      <c r="E84" s="1" t="s">
        <v>73</v>
      </c>
      <c r="F84" s="38">
        <v>8</v>
      </c>
      <c r="G84" s="64" t="str">
        <f>IF(Faculty_Clean_Data[[#This Row],[Experience_Years]]&lt;5,"Junior",IF(Faculty_Clean_Data[[#This Row],[Experience_Years]]&gt;=15, "Senior", "Mid"))</f>
        <v>Mid</v>
      </c>
      <c r="H84" s="1" t="s">
        <v>137</v>
      </c>
      <c r="I84" s="1" t="s">
        <v>138</v>
      </c>
      <c r="J84" s="2">
        <v>2</v>
      </c>
      <c r="K8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4" s="2">
        <v>0</v>
      </c>
      <c r="M84" s="2">
        <v>0</v>
      </c>
      <c r="N84" s="2">
        <v>2</v>
      </c>
      <c r="O84" s="2">
        <v>1</v>
      </c>
      <c r="P84" s="2">
        <v>0</v>
      </c>
      <c r="Q84" s="2">
        <v>1</v>
      </c>
      <c r="R84" s="2">
        <v>4</v>
      </c>
      <c r="S84" s="38">
        <v>4</v>
      </c>
      <c r="T84" s="2">
        <v>3</v>
      </c>
      <c r="U84" s="2">
        <v>1</v>
      </c>
      <c r="V84" s="60">
        <f>SUM(Faculty_Clean_Data[[#This Row],[Teaching_Hours]],Faculty_Clean_Data[[#This Row],[Lab_Hours]],Faculty_Clean_Data[[#This Row],[Tutorials_Activity]])</f>
        <v>8</v>
      </c>
      <c r="W84" s="38">
        <v>1</v>
      </c>
      <c r="X84" s="39">
        <v>2</v>
      </c>
      <c r="Y84" s="38">
        <v>2</v>
      </c>
      <c r="Z84" s="38">
        <v>1</v>
      </c>
      <c r="AA84" s="43">
        <f t="shared" si="2"/>
        <v>5</v>
      </c>
      <c r="AB84" s="50">
        <f t="shared" si="3"/>
        <v>14</v>
      </c>
      <c r="AC8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84" s="58" t="str">
        <f>IF(Faculty_Clean_Data[[#This Row],[Check_Total]]-Faculty_Clean_Data[[#This Row],[Total_Hours]]&gt;0.5,"Mismatch","OK")</f>
        <v>OK</v>
      </c>
    </row>
    <row r="85" spans="1:30" ht="30" x14ac:dyDescent="0.25">
      <c r="A85" s="20">
        <v>84</v>
      </c>
      <c r="B85" s="1" t="s">
        <v>244</v>
      </c>
      <c r="C85" s="1" t="s">
        <v>90</v>
      </c>
      <c r="D85" s="17" t="s">
        <v>15</v>
      </c>
      <c r="E85" s="1" t="s">
        <v>73</v>
      </c>
      <c r="F85" s="38">
        <v>11.833333333333334</v>
      </c>
      <c r="G85" s="64" t="str">
        <f>IF(Faculty_Clean_Data[[#This Row],[Experience_Years]]&lt;5,"Junior",IF(Faculty_Clean_Data[[#This Row],[Experience_Years]]&gt;=15, "Senior", "Mid"))</f>
        <v>Mid</v>
      </c>
      <c r="H85" s="1" t="s">
        <v>137</v>
      </c>
      <c r="I85" s="1" t="s">
        <v>138</v>
      </c>
      <c r="J85" s="2">
        <v>1</v>
      </c>
      <c r="K8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5" s="2">
        <v>1</v>
      </c>
      <c r="M85" s="2">
        <v>0</v>
      </c>
      <c r="N85" s="2">
        <v>1</v>
      </c>
      <c r="O85" s="2">
        <v>3</v>
      </c>
      <c r="P85" s="2">
        <v>0</v>
      </c>
      <c r="Q85" s="2">
        <v>1</v>
      </c>
      <c r="R85" s="2">
        <v>12</v>
      </c>
      <c r="S85" s="38">
        <v>12</v>
      </c>
      <c r="T85" s="2">
        <v>0</v>
      </c>
      <c r="U85" s="2">
        <v>3</v>
      </c>
      <c r="V85" s="60">
        <f>SUM(Faculty_Clean_Data[[#This Row],[Teaching_Hours]],Faculty_Clean_Data[[#This Row],[Lab_Hours]],Faculty_Clean_Data[[#This Row],[Tutorials_Activity]])</f>
        <v>15</v>
      </c>
      <c r="W85" s="38">
        <v>3</v>
      </c>
      <c r="X85" s="39">
        <v>4</v>
      </c>
      <c r="Y85" s="38">
        <v>2</v>
      </c>
      <c r="Z85" s="38">
        <v>1</v>
      </c>
      <c r="AA85" s="43">
        <f t="shared" si="2"/>
        <v>7</v>
      </c>
      <c r="AB85" s="50">
        <f t="shared" si="3"/>
        <v>25</v>
      </c>
      <c r="AC8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25</v>
      </c>
      <c r="AD85" s="58" t="str">
        <f>IF(Faculty_Clean_Data[[#This Row],[Check_Total]]-Faculty_Clean_Data[[#This Row],[Total_Hours]]&gt;0.5,"Mismatch","OK")</f>
        <v>OK</v>
      </c>
    </row>
    <row r="86" spans="1:30" ht="30" x14ac:dyDescent="0.25">
      <c r="A86" s="20">
        <v>85</v>
      </c>
      <c r="B86" s="1" t="s">
        <v>245</v>
      </c>
      <c r="C86" s="1" t="s">
        <v>91</v>
      </c>
      <c r="D86" s="17" t="s">
        <v>18</v>
      </c>
      <c r="E86" s="1" t="s">
        <v>41</v>
      </c>
      <c r="F86" s="38">
        <v>11.666666666666666</v>
      </c>
      <c r="G86" s="64" t="str">
        <f>IF(Faculty_Clean_Data[[#This Row],[Experience_Years]]&lt;5,"Junior",IF(Faculty_Clean_Data[[#This Row],[Experience_Years]]&gt;=15, "Senior", "Mid"))</f>
        <v>Mid</v>
      </c>
      <c r="H86" s="1" t="s">
        <v>121</v>
      </c>
      <c r="I86" s="1" t="s">
        <v>129</v>
      </c>
      <c r="J86" s="2">
        <v>1</v>
      </c>
      <c r="K8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6" s="2">
        <v>1</v>
      </c>
      <c r="M86" s="2">
        <v>1</v>
      </c>
      <c r="N86" s="2">
        <v>0</v>
      </c>
      <c r="O86" s="2">
        <v>1</v>
      </c>
      <c r="P86" s="2">
        <v>0</v>
      </c>
      <c r="Q86" s="2">
        <v>1</v>
      </c>
      <c r="R86" s="2">
        <v>5</v>
      </c>
      <c r="S86" s="38">
        <v>5</v>
      </c>
      <c r="T86" s="2">
        <v>3</v>
      </c>
      <c r="U86" s="2">
        <v>0</v>
      </c>
      <c r="V86" s="60">
        <f>SUM(Faculty_Clean_Data[[#This Row],[Teaching_Hours]],Faculty_Clean_Data[[#This Row],[Lab_Hours]],Faculty_Clean_Data[[#This Row],[Tutorials_Activity]])</f>
        <v>8</v>
      </c>
      <c r="W86" s="38">
        <v>1</v>
      </c>
      <c r="X86" s="39">
        <v>2</v>
      </c>
      <c r="Y86" s="38">
        <v>2</v>
      </c>
      <c r="Z86" s="38">
        <v>1</v>
      </c>
      <c r="AA86" s="43">
        <f t="shared" si="2"/>
        <v>5</v>
      </c>
      <c r="AB86" s="50">
        <f t="shared" si="3"/>
        <v>14</v>
      </c>
      <c r="AC8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86" s="58" t="str">
        <f>IF(Faculty_Clean_Data[[#This Row],[Check_Total]]-Faculty_Clean_Data[[#This Row],[Total_Hours]]&gt;0.5,"Mismatch","OK")</f>
        <v>OK</v>
      </c>
    </row>
    <row r="87" spans="1:30" ht="30" x14ac:dyDescent="0.25">
      <c r="A87" s="20">
        <v>86</v>
      </c>
      <c r="B87" s="1" t="s">
        <v>246</v>
      </c>
      <c r="C87" s="1" t="s">
        <v>92</v>
      </c>
      <c r="D87" s="17" t="s">
        <v>18</v>
      </c>
      <c r="E87" s="1" t="s">
        <v>73</v>
      </c>
      <c r="F87" s="38">
        <v>6.416666666666667</v>
      </c>
      <c r="G87" s="64" t="str">
        <f>IF(Faculty_Clean_Data[[#This Row],[Experience_Years]]&lt;5,"Junior",IF(Faculty_Clean_Data[[#This Row],[Experience_Years]]&gt;=15, "Senior", "Mid"))</f>
        <v>Mid</v>
      </c>
      <c r="H87" s="1" t="s">
        <v>137</v>
      </c>
      <c r="I87" s="1" t="s">
        <v>138</v>
      </c>
      <c r="J87" s="2">
        <v>1</v>
      </c>
      <c r="K8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7" s="2">
        <v>1</v>
      </c>
      <c r="M87" s="2">
        <v>0</v>
      </c>
      <c r="N87" s="2">
        <v>1</v>
      </c>
      <c r="O87" s="2">
        <v>2</v>
      </c>
      <c r="P87" s="2">
        <v>0</v>
      </c>
      <c r="Q87" s="2">
        <v>1</v>
      </c>
      <c r="R87" s="2">
        <v>0</v>
      </c>
      <c r="S87" s="38">
        <v>0</v>
      </c>
      <c r="T87" s="2">
        <v>12</v>
      </c>
      <c r="U87" s="2">
        <v>0</v>
      </c>
      <c r="V87" s="60">
        <f>SUM(Faculty_Clean_Data[[#This Row],[Teaching_Hours]],Faculty_Clean_Data[[#This Row],[Lab_Hours]],Faculty_Clean_Data[[#This Row],[Tutorials_Activity]])</f>
        <v>12</v>
      </c>
      <c r="W87" s="38">
        <v>1</v>
      </c>
      <c r="X87" s="39">
        <v>2</v>
      </c>
      <c r="Y87" s="38">
        <v>2</v>
      </c>
      <c r="Z87" s="38">
        <v>1</v>
      </c>
      <c r="AA87" s="43">
        <f t="shared" si="2"/>
        <v>5</v>
      </c>
      <c r="AB87" s="50">
        <f t="shared" si="3"/>
        <v>18</v>
      </c>
      <c r="AC8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18</v>
      </c>
      <c r="AD87" s="58" t="str">
        <f>IF(Faculty_Clean_Data[[#This Row],[Check_Total]]-Faculty_Clean_Data[[#This Row],[Total_Hours]]&gt;0.5,"Mismatch","OK")</f>
        <v>OK</v>
      </c>
    </row>
    <row r="88" spans="1:30" ht="30" x14ac:dyDescent="0.25">
      <c r="A88" s="20">
        <v>87</v>
      </c>
      <c r="B88" s="1" t="s">
        <v>247</v>
      </c>
      <c r="C88" s="1" t="s">
        <v>93</v>
      </c>
      <c r="D88" s="17" t="s">
        <v>18</v>
      </c>
      <c r="E88" s="1" t="s">
        <v>73</v>
      </c>
      <c r="F88" s="38">
        <v>9.5</v>
      </c>
      <c r="G88" s="64" t="str">
        <f>IF(Faculty_Clean_Data[[#This Row],[Experience_Years]]&lt;5,"Junior",IF(Faculty_Clean_Data[[#This Row],[Experience_Years]]&gt;=15, "Senior", "Mid"))</f>
        <v>Mid</v>
      </c>
      <c r="H88" s="1" t="s">
        <v>137</v>
      </c>
      <c r="I88" s="1" t="s">
        <v>138</v>
      </c>
      <c r="J88" s="2">
        <v>1</v>
      </c>
      <c r="K8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8" s="2">
        <v>1</v>
      </c>
      <c r="M88" s="2">
        <v>0</v>
      </c>
      <c r="N88" s="2">
        <v>1</v>
      </c>
      <c r="O88" s="2">
        <v>3</v>
      </c>
      <c r="P88" s="2">
        <v>0</v>
      </c>
      <c r="Q88" s="2">
        <v>1</v>
      </c>
      <c r="R88" s="2">
        <v>0</v>
      </c>
      <c r="S88" s="38">
        <v>0</v>
      </c>
      <c r="T88" s="2">
        <v>9</v>
      </c>
      <c r="U88" s="2">
        <v>0</v>
      </c>
      <c r="V88" s="60">
        <f>SUM(Faculty_Clean_Data[[#This Row],[Teaching_Hours]],Faculty_Clean_Data[[#This Row],[Lab_Hours]],Faculty_Clean_Data[[#This Row],[Tutorials_Activity]])</f>
        <v>9</v>
      </c>
      <c r="W88" s="38">
        <v>1</v>
      </c>
      <c r="X88" s="39">
        <v>2</v>
      </c>
      <c r="Y88" s="38">
        <v>2</v>
      </c>
      <c r="Z88" s="38">
        <v>1</v>
      </c>
      <c r="AA88" s="43">
        <f t="shared" si="2"/>
        <v>5</v>
      </c>
      <c r="AB88" s="50">
        <f t="shared" si="3"/>
        <v>15</v>
      </c>
      <c r="AC8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15</v>
      </c>
      <c r="AD88" s="58" t="str">
        <f>IF(Faculty_Clean_Data[[#This Row],[Check_Total]]-Faculty_Clean_Data[[#This Row],[Total_Hours]]&gt;0.5,"Mismatch","OK")</f>
        <v>OK</v>
      </c>
    </row>
    <row r="89" spans="1:30" ht="30" x14ac:dyDescent="0.25">
      <c r="A89" s="20">
        <v>88</v>
      </c>
      <c r="B89" s="1" t="s">
        <v>248</v>
      </c>
      <c r="C89" s="1" t="s">
        <v>94</v>
      </c>
      <c r="D89" s="17" t="s">
        <v>18</v>
      </c>
      <c r="E89" s="1" t="s">
        <v>38</v>
      </c>
      <c r="F89" s="38">
        <v>6</v>
      </c>
      <c r="G89" s="64" t="str">
        <f>IF(Faculty_Clean_Data[[#This Row],[Experience_Years]]&lt;5,"Junior",IF(Faculty_Clean_Data[[#This Row],[Experience_Years]]&gt;=15, "Senior", "Mid"))</f>
        <v>Mid</v>
      </c>
      <c r="H89" s="1" t="s">
        <v>121</v>
      </c>
      <c r="I89" s="1" t="s">
        <v>140</v>
      </c>
      <c r="J89" s="2">
        <v>3</v>
      </c>
      <c r="K8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89" s="2">
        <v>0</v>
      </c>
      <c r="M89" s="2">
        <v>0</v>
      </c>
      <c r="N89" s="2">
        <v>3</v>
      </c>
      <c r="O89" s="2">
        <v>1.28</v>
      </c>
      <c r="P89" s="2">
        <v>0</v>
      </c>
      <c r="Q89" s="2">
        <v>1</v>
      </c>
      <c r="R89" s="2">
        <v>11</v>
      </c>
      <c r="S89" s="38">
        <v>11</v>
      </c>
      <c r="T89" s="2">
        <v>0</v>
      </c>
      <c r="U89" s="2">
        <v>0</v>
      </c>
      <c r="V89" s="60">
        <f>SUM(Faculty_Clean_Data[[#This Row],[Teaching_Hours]],Faculty_Clean_Data[[#This Row],[Lab_Hours]],Faculty_Clean_Data[[#This Row],[Tutorials_Activity]])</f>
        <v>11</v>
      </c>
      <c r="W89" s="38">
        <v>1</v>
      </c>
      <c r="X89" s="39">
        <v>2</v>
      </c>
      <c r="Y89" s="38">
        <v>2</v>
      </c>
      <c r="Z89" s="38">
        <v>1</v>
      </c>
      <c r="AA89" s="43">
        <f t="shared" si="2"/>
        <v>5</v>
      </c>
      <c r="AB89" s="50">
        <f t="shared" si="3"/>
        <v>17</v>
      </c>
      <c r="AC8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17</v>
      </c>
      <c r="AD89" s="58" t="str">
        <f>IF(Faculty_Clean_Data[[#This Row],[Check_Total]]-Faculty_Clean_Data[[#This Row],[Total_Hours]]&gt;0.5,"Mismatch","OK")</f>
        <v>OK</v>
      </c>
    </row>
    <row r="90" spans="1:30" ht="30" x14ac:dyDescent="0.25">
      <c r="A90" s="20">
        <v>89</v>
      </c>
      <c r="B90" s="1" t="s">
        <v>249</v>
      </c>
      <c r="C90" s="1" t="s">
        <v>95</v>
      </c>
      <c r="D90" s="17" t="s">
        <v>18</v>
      </c>
      <c r="E90" s="1" t="s">
        <v>73</v>
      </c>
      <c r="F90" s="38">
        <v>5.416666666666667</v>
      </c>
      <c r="G90" s="64" t="str">
        <f>IF(Faculty_Clean_Data[[#This Row],[Experience_Years]]&lt;5,"Junior",IF(Faculty_Clean_Data[[#This Row],[Experience_Years]]&gt;=15, "Senior", "Mid"))</f>
        <v>Mid</v>
      </c>
      <c r="H90" s="1" t="s">
        <v>137</v>
      </c>
      <c r="I90" s="1" t="s">
        <v>138</v>
      </c>
      <c r="J90" s="2">
        <v>1</v>
      </c>
      <c r="K9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0" s="2">
        <v>1</v>
      </c>
      <c r="M90" s="2">
        <v>0</v>
      </c>
      <c r="N90" s="2">
        <v>1</v>
      </c>
      <c r="O90" s="2">
        <v>2</v>
      </c>
      <c r="P90" s="2">
        <v>0</v>
      </c>
      <c r="Q90" s="2">
        <v>1</v>
      </c>
      <c r="R90" s="2">
        <v>0</v>
      </c>
      <c r="S90" s="38">
        <v>0</v>
      </c>
      <c r="T90" s="2">
        <v>6</v>
      </c>
      <c r="U90" s="2">
        <v>0</v>
      </c>
      <c r="V90" s="60">
        <f>SUM(Faculty_Clean_Data[[#This Row],[Teaching_Hours]],Faculty_Clean_Data[[#This Row],[Lab_Hours]],Faculty_Clean_Data[[#This Row],[Tutorials_Activity]])</f>
        <v>6</v>
      </c>
      <c r="W90" s="38">
        <v>1</v>
      </c>
      <c r="X90" s="39">
        <v>2</v>
      </c>
      <c r="Y90" s="38">
        <v>2</v>
      </c>
      <c r="Z90" s="38">
        <v>1</v>
      </c>
      <c r="AA90" s="43">
        <f t="shared" si="2"/>
        <v>5</v>
      </c>
      <c r="AB90" s="50">
        <f t="shared" si="3"/>
        <v>12</v>
      </c>
      <c r="AC9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90" s="58" t="str">
        <f>IF(Faculty_Clean_Data[[#This Row],[Check_Total]]-Faculty_Clean_Data[[#This Row],[Total_Hours]]&gt;0.5,"Mismatch","OK")</f>
        <v>OK</v>
      </c>
    </row>
    <row r="91" spans="1:30" ht="30" x14ac:dyDescent="0.25">
      <c r="A91" s="20">
        <v>90</v>
      </c>
      <c r="B91" s="1" t="s">
        <v>250</v>
      </c>
      <c r="C91" s="1" t="s">
        <v>96</v>
      </c>
      <c r="D91" s="17" t="s">
        <v>18</v>
      </c>
      <c r="E91" s="1" t="s">
        <v>73</v>
      </c>
      <c r="F91" s="38">
        <v>10</v>
      </c>
      <c r="G91" s="64" t="str">
        <f>IF(Faculty_Clean_Data[[#This Row],[Experience_Years]]&lt;5,"Junior",IF(Faculty_Clean_Data[[#This Row],[Experience_Years]]&gt;=15, "Senior", "Mid"))</f>
        <v>Mid</v>
      </c>
      <c r="H91" s="1" t="s">
        <v>137</v>
      </c>
      <c r="I91" s="1" t="s">
        <v>138</v>
      </c>
      <c r="J91" s="2">
        <v>1</v>
      </c>
      <c r="K9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1" s="2">
        <v>1</v>
      </c>
      <c r="M91" s="2">
        <v>0</v>
      </c>
      <c r="N91" s="2">
        <v>1</v>
      </c>
      <c r="O91" s="2">
        <v>3</v>
      </c>
      <c r="P91" s="2">
        <v>0</v>
      </c>
      <c r="Q91" s="2">
        <v>1</v>
      </c>
      <c r="R91" s="2">
        <v>0</v>
      </c>
      <c r="S91" s="38">
        <v>0</v>
      </c>
      <c r="T91" s="2">
        <v>9</v>
      </c>
      <c r="U91" s="2">
        <v>0</v>
      </c>
      <c r="V91" s="60">
        <f>SUM(Faculty_Clean_Data[[#This Row],[Teaching_Hours]],Faculty_Clean_Data[[#This Row],[Lab_Hours]],Faculty_Clean_Data[[#This Row],[Tutorials_Activity]])</f>
        <v>9</v>
      </c>
      <c r="W91" s="38">
        <v>1</v>
      </c>
      <c r="X91" s="39">
        <v>2</v>
      </c>
      <c r="Y91" s="38">
        <v>2</v>
      </c>
      <c r="Z91" s="38">
        <v>1</v>
      </c>
      <c r="AA91" s="43">
        <f t="shared" si="2"/>
        <v>5</v>
      </c>
      <c r="AB91" s="50">
        <f t="shared" si="3"/>
        <v>15</v>
      </c>
      <c r="AC9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15</v>
      </c>
      <c r="AD91" s="58" t="str">
        <f>IF(Faculty_Clean_Data[[#This Row],[Check_Total]]-Faculty_Clean_Data[[#This Row],[Total_Hours]]&gt;0.5,"Mismatch","OK")</f>
        <v>OK</v>
      </c>
    </row>
    <row r="92" spans="1:30" ht="30" x14ac:dyDescent="0.25">
      <c r="A92" s="20">
        <v>91</v>
      </c>
      <c r="B92" s="1" t="s">
        <v>251</v>
      </c>
      <c r="C92" s="1" t="s">
        <v>97</v>
      </c>
      <c r="D92" s="17" t="s">
        <v>18</v>
      </c>
      <c r="E92" s="1" t="s">
        <v>73</v>
      </c>
      <c r="F92" s="38">
        <v>1.4166666666666667</v>
      </c>
      <c r="G92" s="64" t="str">
        <f>IF(Faculty_Clean_Data[[#This Row],[Experience_Years]]&lt;5,"Junior",IF(Faculty_Clean_Data[[#This Row],[Experience_Years]]&gt;=15, "Senior", "Mid"))</f>
        <v>Junior</v>
      </c>
      <c r="H92" s="1" t="s">
        <v>137</v>
      </c>
      <c r="I92" s="1" t="s">
        <v>138</v>
      </c>
      <c r="J92" s="2">
        <v>1</v>
      </c>
      <c r="K9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2" s="2">
        <v>1</v>
      </c>
      <c r="M92" s="2">
        <v>0</v>
      </c>
      <c r="N92" s="2">
        <v>1</v>
      </c>
      <c r="O92" s="2">
        <v>3</v>
      </c>
      <c r="P92" s="2">
        <v>1</v>
      </c>
      <c r="Q92" s="2">
        <v>0</v>
      </c>
      <c r="R92" s="2">
        <v>0</v>
      </c>
      <c r="S92" s="38">
        <v>0</v>
      </c>
      <c r="T92" s="2">
        <v>9</v>
      </c>
      <c r="U92" s="2">
        <v>0</v>
      </c>
      <c r="V92" s="60">
        <f>SUM(Faculty_Clean_Data[[#This Row],[Teaching_Hours]],Faculty_Clean_Data[[#This Row],[Lab_Hours]],Faculty_Clean_Data[[#This Row],[Tutorials_Activity]])</f>
        <v>9</v>
      </c>
      <c r="W92" s="38">
        <v>1</v>
      </c>
      <c r="X92" s="39">
        <v>6</v>
      </c>
      <c r="Y92" s="38">
        <v>2</v>
      </c>
      <c r="Z92" s="38">
        <v>1</v>
      </c>
      <c r="AA92" s="43">
        <f t="shared" si="2"/>
        <v>9</v>
      </c>
      <c r="AB92" s="50">
        <f t="shared" si="3"/>
        <v>19</v>
      </c>
      <c r="AC9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19</v>
      </c>
      <c r="AD92" s="58" t="str">
        <f>IF(Faculty_Clean_Data[[#This Row],[Check_Total]]-Faculty_Clean_Data[[#This Row],[Total_Hours]]&gt;0.5,"Mismatch","OK")</f>
        <v>OK</v>
      </c>
    </row>
    <row r="93" spans="1:30" ht="30" x14ac:dyDescent="0.25">
      <c r="A93" s="20">
        <v>92</v>
      </c>
      <c r="B93" s="1" t="s">
        <v>252</v>
      </c>
      <c r="C93" s="1" t="s">
        <v>98</v>
      </c>
      <c r="D93" s="17" t="s">
        <v>18</v>
      </c>
      <c r="E93" s="1" t="s">
        <v>73</v>
      </c>
      <c r="F93" s="38">
        <v>1.6666666666666667</v>
      </c>
      <c r="G93" s="64" t="str">
        <f>IF(Faculty_Clean_Data[[#This Row],[Experience_Years]]&lt;5,"Junior",IF(Faculty_Clean_Data[[#This Row],[Experience_Years]]&gt;=15, "Senior", "Mid"))</f>
        <v>Junior</v>
      </c>
      <c r="H93" s="1" t="s">
        <v>121</v>
      </c>
      <c r="I93" s="1" t="s">
        <v>142</v>
      </c>
      <c r="J93" s="2">
        <v>1</v>
      </c>
      <c r="K9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3" s="2">
        <v>1</v>
      </c>
      <c r="M93" s="2">
        <v>1</v>
      </c>
      <c r="N93" s="2">
        <v>0</v>
      </c>
      <c r="O93" s="2">
        <v>2</v>
      </c>
      <c r="P93" s="2">
        <v>1</v>
      </c>
      <c r="Q93" s="2">
        <v>0</v>
      </c>
      <c r="R93" s="2">
        <v>10</v>
      </c>
      <c r="S93" s="38">
        <v>10</v>
      </c>
      <c r="T93" s="2">
        <v>4</v>
      </c>
      <c r="U93" s="2">
        <v>0</v>
      </c>
      <c r="V93" s="60">
        <f>SUM(Faculty_Clean_Data[[#This Row],[Teaching_Hours]],Faculty_Clean_Data[[#This Row],[Lab_Hours]],Faculty_Clean_Data[[#This Row],[Tutorials_Activity]])</f>
        <v>14</v>
      </c>
      <c r="W93" s="38">
        <v>1</v>
      </c>
      <c r="X93" s="39">
        <v>2</v>
      </c>
      <c r="Y93" s="38">
        <v>2</v>
      </c>
      <c r="Z93" s="38">
        <v>1</v>
      </c>
      <c r="AA93" s="43">
        <f t="shared" si="2"/>
        <v>5</v>
      </c>
      <c r="AB93" s="50">
        <f t="shared" si="3"/>
        <v>20</v>
      </c>
      <c r="AC9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</v>
      </c>
      <c r="AD93" s="58" t="str">
        <f>IF(Faculty_Clean_Data[[#This Row],[Check_Total]]-Faculty_Clean_Data[[#This Row],[Total_Hours]]&gt;0.5,"Mismatch","OK")</f>
        <v>OK</v>
      </c>
    </row>
    <row r="94" spans="1:30" ht="30" x14ac:dyDescent="0.25">
      <c r="A94" s="20">
        <v>93</v>
      </c>
      <c r="B94" s="1" t="s">
        <v>253</v>
      </c>
      <c r="C94" s="1" t="s">
        <v>99</v>
      </c>
      <c r="D94" s="17" t="s">
        <v>18</v>
      </c>
      <c r="E94" s="1" t="s">
        <v>73</v>
      </c>
      <c r="F94" s="38">
        <v>1.8333333333333333</v>
      </c>
      <c r="G94" s="64" t="str">
        <f>IF(Faculty_Clean_Data[[#This Row],[Experience_Years]]&lt;5,"Junior",IF(Faculty_Clean_Data[[#This Row],[Experience_Years]]&gt;=15, "Senior", "Mid"))</f>
        <v>Junior</v>
      </c>
      <c r="H94" s="1" t="s">
        <v>137</v>
      </c>
      <c r="I94" s="1" t="s">
        <v>138</v>
      </c>
      <c r="J94" s="2">
        <v>1</v>
      </c>
      <c r="K9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4" s="2">
        <v>1</v>
      </c>
      <c r="M94" s="2">
        <v>0</v>
      </c>
      <c r="N94" s="2">
        <v>1</v>
      </c>
      <c r="O94" s="2">
        <v>2</v>
      </c>
      <c r="P94" s="2">
        <v>1</v>
      </c>
      <c r="Q94" s="2">
        <v>0</v>
      </c>
      <c r="R94" s="2">
        <v>0</v>
      </c>
      <c r="S94" s="38">
        <v>0</v>
      </c>
      <c r="T94" s="2">
        <v>6</v>
      </c>
      <c r="U94" s="2">
        <v>0</v>
      </c>
      <c r="V94" s="60">
        <f>SUM(Faculty_Clean_Data[[#This Row],[Teaching_Hours]],Faculty_Clean_Data[[#This Row],[Lab_Hours]],Faculty_Clean_Data[[#This Row],[Tutorials_Activity]])</f>
        <v>6</v>
      </c>
      <c r="W94" s="38">
        <v>1</v>
      </c>
      <c r="X94" s="39">
        <v>2</v>
      </c>
      <c r="Y94" s="38">
        <v>2</v>
      </c>
      <c r="Z94" s="38">
        <v>1</v>
      </c>
      <c r="AA94" s="43">
        <f t="shared" si="2"/>
        <v>5</v>
      </c>
      <c r="AB94" s="50">
        <f t="shared" si="3"/>
        <v>12</v>
      </c>
      <c r="AC9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94" s="58" t="str">
        <f>IF(Faculty_Clean_Data[[#This Row],[Check_Total]]-Faculty_Clean_Data[[#This Row],[Total_Hours]]&gt;0.5,"Mismatch","OK")</f>
        <v>OK</v>
      </c>
    </row>
    <row r="95" spans="1:30" ht="30" x14ac:dyDescent="0.25">
      <c r="A95" s="20">
        <v>94</v>
      </c>
      <c r="B95" s="1" t="s">
        <v>254</v>
      </c>
      <c r="C95" s="1" t="s">
        <v>100</v>
      </c>
      <c r="D95" s="17" t="s">
        <v>15</v>
      </c>
      <c r="E95" s="1" t="s">
        <v>114</v>
      </c>
      <c r="F95" s="38">
        <v>19</v>
      </c>
      <c r="G95" s="64" t="str">
        <f>IF(Faculty_Clean_Data[[#This Row],[Experience_Years]]&lt;5,"Junior",IF(Faculty_Clean_Data[[#This Row],[Experience_Years]]&gt;=15, "Senior", "Mid"))</f>
        <v>Senior</v>
      </c>
      <c r="H95" s="1" t="s">
        <v>137</v>
      </c>
      <c r="I95" s="1" t="s">
        <v>138</v>
      </c>
      <c r="J95" s="2">
        <v>2</v>
      </c>
      <c r="K9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5" s="2">
        <v>1</v>
      </c>
      <c r="M95" s="2">
        <v>0</v>
      </c>
      <c r="N95" s="2">
        <v>2</v>
      </c>
      <c r="O95" s="2">
        <v>2</v>
      </c>
      <c r="P95" s="2">
        <v>0</v>
      </c>
      <c r="Q95" s="2">
        <v>1</v>
      </c>
      <c r="R95" s="2">
        <v>8</v>
      </c>
      <c r="S95" s="38">
        <v>8</v>
      </c>
      <c r="T95" s="2">
        <v>6</v>
      </c>
      <c r="U95" s="2">
        <v>2</v>
      </c>
      <c r="V95" s="60">
        <f>SUM(Faculty_Clean_Data[[#This Row],[Teaching_Hours]],Faculty_Clean_Data[[#This Row],[Lab_Hours]],Faculty_Clean_Data[[#This Row],[Tutorials_Activity]])</f>
        <v>16</v>
      </c>
      <c r="W95" s="38">
        <v>3</v>
      </c>
      <c r="X95" s="39">
        <v>3</v>
      </c>
      <c r="Y95" s="38">
        <v>2</v>
      </c>
      <c r="Z95" s="38">
        <v>1</v>
      </c>
      <c r="AA95" s="43">
        <f t="shared" si="2"/>
        <v>6</v>
      </c>
      <c r="AB95" s="50">
        <f t="shared" si="3"/>
        <v>25</v>
      </c>
      <c r="AC9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25</v>
      </c>
      <c r="AD95" s="58" t="str">
        <f>IF(Faculty_Clean_Data[[#This Row],[Check_Total]]-Faculty_Clean_Data[[#This Row],[Total_Hours]]&gt;0.5,"Mismatch","OK")</f>
        <v>OK</v>
      </c>
    </row>
    <row r="96" spans="1:30" ht="30" x14ac:dyDescent="0.25">
      <c r="A96" s="20">
        <v>95</v>
      </c>
      <c r="B96" s="1" t="s">
        <v>255</v>
      </c>
      <c r="C96" s="1" t="s">
        <v>101</v>
      </c>
      <c r="D96" s="17" t="s">
        <v>18</v>
      </c>
      <c r="E96" s="1" t="s">
        <v>114</v>
      </c>
      <c r="F96" s="38">
        <v>5.916666666666667</v>
      </c>
      <c r="G96" s="64" t="str">
        <f>IF(Faculty_Clean_Data[[#This Row],[Experience_Years]]&lt;5,"Junior",IF(Faculty_Clean_Data[[#This Row],[Experience_Years]]&gt;=15, "Senior", "Mid"))</f>
        <v>Mid</v>
      </c>
      <c r="H96" s="1" t="s">
        <v>133</v>
      </c>
      <c r="I96" s="1" t="s">
        <v>135</v>
      </c>
      <c r="J96" s="2">
        <v>2</v>
      </c>
      <c r="K9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6" s="2">
        <v>0</v>
      </c>
      <c r="M96" s="2">
        <v>0</v>
      </c>
      <c r="N96" s="2">
        <v>1</v>
      </c>
      <c r="O96" s="2">
        <v>0.83</v>
      </c>
      <c r="P96" s="2">
        <v>0</v>
      </c>
      <c r="Q96" s="2">
        <v>1</v>
      </c>
      <c r="R96" s="2">
        <v>5</v>
      </c>
      <c r="S96" s="38">
        <v>5</v>
      </c>
      <c r="T96" s="2">
        <v>3</v>
      </c>
      <c r="U96" s="2">
        <v>0</v>
      </c>
      <c r="V96" s="60">
        <f>SUM(Faculty_Clean_Data[[#This Row],[Teaching_Hours]],Faculty_Clean_Data[[#This Row],[Lab_Hours]],Faculty_Clean_Data[[#This Row],[Tutorials_Activity]])</f>
        <v>8</v>
      </c>
      <c r="W96" s="38">
        <v>1</v>
      </c>
      <c r="X96" s="39">
        <v>2</v>
      </c>
      <c r="Y96" s="38">
        <v>2</v>
      </c>
      <c r="Z96" s="38">
        <v>1</v>
      </c>
      <c r="AA96" s="43">
        <f t="shared" si="2"/>
        <v>5</v>
      </c>
      <c r="AB96" s="50">
        <f t="shared" si="3"/>
        <v>14</v>
      </c>
      <c r="AC9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96" s="58" t="str">
        <f>IF(Faculty_Clean_Data[[#This Row],[Check_Total]]-Faculty_Clean_Data[[#This Row],[Total_Hours]]&gt;0.5,"Mismatch","OK")</f>
        <v>OK</v>
      </c>
    </row>
    <row r="97" spans="1:30" ht="30" x14ac:dyDescent="0.25">
      <c r="A97" s="20">
        <v>96</v>
      </c>
      <c r="B97" s="1" t="s">
        <v>256</v>
      </c>
      <c r="C97" s="1" t="s">
        <v>102</v>
      </c>
      <c r="D97" s="17" t="s">
        <v>18</v>
      </c>
      <c r="E97" s="1" t="s">
        <v>73</v>
      </c>
      <c r="F97" s="38">
        <v>5</v>
      </c>
      <c r="G97" s="64" t="str">
        <f>IF(Faculty_Clean_Data[[#This Row],[Experience_Years]]&lt;5,"Junior",IF(Faculty_Clean_Data[[#This Row],[Experience_Years]]&gt;=15, "Senior", "Mid"))</f>
        <v>Mid</v>
      </c>
      <c r="H97" s="1" t="s">
        <v>137</v>
      </c>
      <c r="I97" s="1" t="s">
        <v>138</v>
      </c>
      <c r="J97" s="2">
        <v>1</v>
      </c>
      <c r="K9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7" s="2">
        <v>1</v>
      </c>
      <c r="M97" s="2">
        <v>0</v>
      </c>
      <c r="N97" s="2">
        <v>1</v>
      </c>
      <c r="O97" s="2">
        <v>2</v>
      </c>
      <c r="P97" s="2">
        <v>0</v>
      </c>
      <c r="Q97" s="2">
        <v>1</v>
      </c>
      <c r="R97" s="2">
        <v>0</v>
      </c>
      <c r="S97" s="38">
        <v>0</v>
      </c>
      <c r="T97" s="2">
        <v>12</v>
      </c>
      <c r="U97" s="2">
        <v>0</v>
      </c>
      <c r="V97" s="60">
        <f>SUM(Faculty_Clean_Data[[#This Row],[Teaching_Hours]],Faculty_Clean_Data[[#This Row],[Lab_Hours]],Faculty_Clean_Data[[#This Row],[Tutorials_Activity]])</f>
        <v>12</v>
      </c>
      <c r="W97" s="38">
        <v>1</v>
      </c>
      <c r="X97" s="39">
        <v>1</v>
      </c>
      <c r="Y97" s="38">
        <v>2</v>
      </c>
      <c r="Z97" s="38">
        <v>1</v>
      </c>
      <c r="AA97" s="43">
        <f t="shared" si="2"/>
        <v>4</v>
      </c>
      <c r="AB97" s="50">
        <f t="shared" si="3"/>
        <v>17</v>
      </c>
      <c r="AC9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17</v>
      </c>
      <c r="AD97" s="58" t="str">
        <f>IF(Faculty_Clean_Data[[#This Row],[Check_Total]]-Faculty_Clean_Data[[#This Row],[Total_Hours]]&gt;0.5,"Mismatch","OK")</f>
        <v>OK</v>
      </c>
    </row>
    <row r="98" spans="1:30" ht="30" x14ac:dyDescent="0.25">
      <c r="A98" s="20">
        <v>97</v>
      </c>
      <c r="B98" s="1" t="s">
        <v>257</v>
      </c>
      <c r="C98" s="1" t="s">
        <v>103</v>
      </c>
      <c r="D98" s="17" t="s">
        <v>18</v>
      </c>
      <c r="E98" s="1" t="s">
        <v>73</v>
      </c>
      <c r="F98" s="38">
        <v>2.4166666666666665</v>
      </c>
      <c r="G98" s="64" t="str">
        <f>IF(Faculty_Clean_Data[[#This Row],[Experience_Years]]&lt;5,"Junior",IF(Faculty_Clean_Data[[#This Row],[Experience_Years]]&gt;=15, "Senior", "Mid"))</f>
        <v>Junior</v>
      </c>
      <c r="H98" s="1" t="s">
        <v>137</v>
      </c>
      <c r="I98" s="1" t="s">
        <v>138</v>
      </c>
      <c r="J98" s="2">
        <v>1</v>
      </c>
      <c r="K9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8" s="2">
        <v>1</v>
      </c>
      <c r="M98" s="2">
        <v>0</v>
      </c>
      <c r="N98" s="2">
        <v>1</v>
      </c>
      <c r="O98" s="2">
        <v>2</v>
      </c>
      <c r="P98" s="2">
        <v>0</v>
      </c>
      <c r="Q98" s="2">
        <v>1</v>
      </c>
      <c r="R98" s="2">
        <v>0</v>
      </c>
      <c r="S98" s="38">
        <v>0</v>
      </c>
      <c r="T98" s="2">
        <v>6</v>
      </c>
      <c r="U98" s="2">
        <v>0</v>
      </c>
      <c r="V98" s="60">
        <f>SUM(Faculty_Clean_Data[[#This Row],[Teaching_Hours]],Faculty_Clean_Data[[#This Row],[Lab_Hours]],Faculty_Clean_Data[[#This Row],[Tutorials_Activity]])</f>
        <v>6</v>
      </c>
      <c r="W98" s="38">
        <v>1</v>
      </c>
      <c r="X98" s="39">
        <v>2</v>
      </c>
      <c r="Y98" s="38">
        <v>2</v>
      </c>
      <c r="Z98" s="38">
        <v>1</v>
      </c>
      <c r="AA98" s="43">
        <f t="shared" si="2"/>
        <v>5</v>
      </c>
      <c r="AB98" s="50">
        <f t="shared" si="3"/>
        <v>12</v>
      </c>
      <c r="AC9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98" s="58" t="str">
        <f>IF(Faculty_Clean_Data[[#This Row],[Check_Total]]-Faculty_Clean_Data[[#This Row],[Total_Hours]]&gt;0.5,"Mismatch","OK")</f>
        <v>OK</v>
      </c>
    </row>
    <row r="99" spans="1:30" ht="30" x14ac:dyDescent="0.25">
      <c r="A99" s="20">
        <v>98</v>
      </c>
      <c r="B99" s="1" t="s">
        <v>258</v>
      </c>
      <c r="C99" s="1" t="s">
        <v>104</v>
      </c>
      <c r="D99" s="17" t="s">
        <v>18</v>
      </c>
      <c r="E99" s="1" t="s">
        <v>73</v>
      </c>
      <c r="F99" s="38">
        <v>5.916666666666667</v>
      </c>
      <c r="G99" s="64" t="str">
        <f>IF(Faculty_Clean_Data[[#This Row],[Experience_Years]]&lt;5,"Junior",IF(Faculty_Clean_Data[[#This Row],[Experience_Years]]&gt;=15, "Senior", "Mid"))</f>
        <v>Mid</v>
      </c>
      <c r="H99" s="1" t="s">
        <v>133</v>
      </c>
      <c r="I99" s="1" t="s">
        <v>141</v>
      </c>
      <c r="J99" s="2">
        <v>2</v>
      </c>
      <c r="K9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99" s="2">
        <v>0</v>
      </c>
      <c r="M99" s="2">
        <v>0</v>
      </c>
      <c r="N99" s="2">
        <v>2</v>
      </c>
      <c r="O99" s="2">
        <v>2</v>
      </c>
      <c r="P99" s="2">
        <v>0</v>
      </c>
      <c r="Q99" s="2">
        <v>1</v>
      </c>
      <c r="R99" s="2">
        <v>5</v>
      </c>
      <c r="S99" s="38">
        <v>5</v>
      </c>
      <c r="T99" s="2">
        <v>3</v>
      </c>
      <c r="U99" s="2">
        <v>0</v>
      </c>
      <c r="V99" s="60">
        <f>SUM(Faculty_Clean_Data[[#This Row],[Teaching_Hours]],Faculty_Clean_Data[[#This Row],[Lab_Hours]],Faculty_Clean_Data[[#This Row],[Tutorials_Activity]])</f>
        <v>8</v>
      </c>
      <c r="W99" s="38">
        <v>1</v>
      </c>
      <c r="X99" s="39">
        <v>1</v>
      </c>
      <c r="Y99" s="38">
        <v>2</v>
      </c>
      <c r="Z99" s="38">
        <v>1</v>
      </c>
      <c r="AA99" s="43">
        <f t="shared" si="2"/>
        <v>4</v>
      </c>
      <c r="AB99" s="50">
        <f t="shared" si="3"/>
        <v>13</v>
      </c>
      <c r="AC9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13</v>
      </c>
      <c r="AD99" s="58" t="str">
        <f>IF(Faculty_Clean_Data[[#This Row],[Check_Total]]-Faculty_Clean_Data[[#This Row],[Total_Hours]]&gt;0.5,"Mismatch","OK")</f>
        <v>OK</v>
      </c>
    </row>
    <row r="100" spans="1:30" ht="30" x14ac:dyDescent="0.25">
      <c r="A100" s="20">
        <v>99</v>
      </c>
      <c r="B100" s="1" t="s">
        <v>259</v>
      </c>
      <c r="C100" s="1" t="s">
        <v>105</v>
      </c>
      <c r="D100" s="17" t="s">
        <v>18</v>
      </c>
      <c r="E100" s="1" t="s">
        <v>73</v>
      </c>
      <c r="F100" s="38">
        <v>3.9166666666666665</v>
      </c>
      <c r="G100" s="64" t="str">
        <f>IF(Faculty_Clean_Data[[#This Row],[Experience_Years]]&lt;5,"Junior",IF(Faculty_Clean_Data[[#This Row],[Experience_Years]]&gt;=15, "Senior", "Mid"))</f>
        <v>Junior</v>
      </c>
      <c r="H100" s="1" t="s">
        <v>137</v>
      </c>
      <c r="I100" s="1" t="s">
        <v>138</v>
      </c>
      <c r="J100" s="2">
        <v>1</v>
      </c>
      <c r="K100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0" s="2">
        <v>0</v>
      </c>
      <c r="M100" s="2">
        <v>0</v>
      </c>
      <c r="N100" s="2">
        <v>1</v>
      </c>
      <c r="O100" s="2">
        <v>1</v>
      </c>
      <c r="P100" s="2">
        <v>1</v>
      </c>
      <c r="Q100" s="2">
        <v>0</v>
      </c>
      <c r="R100" s="2">
        <v>0</v>
      </c>
      <c r="S100" s="38">
        <v>0</v>
      </c>
      <c r="T100" s="2">
        <v>6</v>
      </c>
      <c r="U100" s="2">
        <v>0</v>
      </c>
      <c r="V100" s="60">
        <f>SUM(Faculty_Clean_Data[[#This Row],[Teaching_Hours]],Faculty_Clean_Data[[#This Row],[Lab_Hours]],Faculty_Clean_Data[[#This Row],[Tutorials_Activity]])</f>
        <v>6</v>
      </c>
      <c r="W100" s="38">
        <v>1</v>
      </c>
      <c r="X100" s="39">
        <v>1</v>
      </c>
      <c r="Y100" s="38">
        <v>2</v>
      </c>
      <c r="Z100" s="38">
        <v>1</v>
      </c>
      <c r="AA100" s="43">
        <f t="shared" si="2"/>
        <v>4</v>
      </c>
      <c r="AB100" s="50">
        <f t="shared" si="3"/>
        <v>11</v>
      </c>
      <c r="AC10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11</v>
      </c>
      <c r="AD100" s="58" t="str">
        <f>IF(Faculty_Clean_Data[[#This Row],[Check_Total]]-Faculty_Clean_Data[[#This Row],[Total_Hours]]&gt;0.5,"Mismatch","OK")</f>
        <v>OK</v>
      </c>
    </row>
    <row r="101" spans="1:30" ht="30" x14ac:dyDescent="0.25">
      <c r="A101" s="20">
        <v>100</v>
      </c>
      <c r="B101" s="1" t="s">
        <v>260</v>
      </c>
      <c r="C101" s="1" t="s">
        <v>106</v>
      </c>
      <c r="D101" s="17" t="s">
        <v>18</v>
      </c>
      <c r="E101" s="1" t="s">
        <v>73</v>
      </c>
      <c r="F101" s="38">
        <v>6</v>
      </c>
      <c r="G101" s="64" t="str">
        <f>IF(Faculty_Clean_Data[[#This Row],[Experience_Years]]&lt;5,"Junior",IF(Faculty_Clean_Data[[#This Row],[Experience_Years]]&gt;=15, "Senior", "Mid"))</f>
        <v>Mid</v>
      </c>
      <c r="H101" s="1" t="s">
        <v>137</v>
      </c>
      <c r="I101" s="1" t="s">
        <v>138</v>
      </c>
      <c r="J101" s="2">
        <v>2</v>
      </c>
      <c r="K101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1" s="2">
        <v>0</v>
      </c>
      <c r="M101" s="2">
        <v>0</v>
      </c>
      <c r="N101" s="2">
        <v>1</v>
      </c>
      <c r="O101" s="2">
        <v>1</v>
      </c>
      <c r="P101" s="2">
        <v>0</v>
      </c>
      <c r="Q101" s="2">
        <v>1</v>
      </c>
      <c r="R101" s="2">
        <v>4</v>
      </c>
      <c r="S101" s="38">
        <v>4</v>
      </c>
      <c r="T101" s="2">
        <v>3</v>
      </c>
      <c r="U101" s="2">
        <v>1</v>
      </c>
      <c r="V101" s="60">
        <f>SUM(Faculty_Clean_Data[[#This Row],[Teaching_Hours]],Faculty_Clean_Data[[#This Row],[Lab_Hours]],Faculty_Clean_Data[[#This Row],[Tutorials_Activity]])</f>
        <v>8</v>
      </c>
      <c r="W101" s="38">
        <v>1</v>
      </c>
      <c r="X101" s="39">
        <v>2</v>
      </c>
      <c r="Y101" s="38">
        <v>2</v>
      </c>
      <c r="Z101" s="38">
        <v>1</v>
      </c>
      <c r="AA101" s="43">
        <f t="shared" si="2"/>
        <v>5</v>
      </c>
      <c r="AB101" s="50">
        <f t="shared" si="3"/>
        <v>14</v>
      </c>
      <c r="AC101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101" s="58" t="str">
        <f>IF(Faculty_Clean_Data[[#This Row],[Check_Total]]-Faculty_Clean_Data[[#This Row],[Total_Hours]]&gt;0.5,"Mismatch","OK")</f>
        <v>OK</v>
      </c>
    </row>
    <row r="102" spans="1:30" x14ac:dyDescent="0.25">
      <c r="A102" s="20">
        <v>101</v>
      </c>
      <c r="B102" s="1" t="s">
        <v>261</v>
      </c>
      <c r="C102" s="1" t="s">
        <v>282</v>
      </c>
      <c r="D102" s="1" t="s">
        <v>310</v>
      </c>
      <c r="E102" s="1" t="s">
        <v>37</v>
      </c>
      <c r="F102" s="38">
        <v>21.833333333333332</v>
      </c>
      <c r="G102" s="64" t="str">
        <f>IF(Faculty_Clean_Data[[#This Row],[Experience_Years]]&lt;5,"Junior",IF(Faculty_Clean_Data[[#This Row],[Experience_Years]]&gt;=15, "Senior", "Mid"))</f>
        <v>Senior</v>
      </c>
      <c r="H102" s="1" t="s">
        <v>137</v>
      </c>
      <c r="I102" s="1" t="s">
        <v>138</v>
      </c>
      <c r="J102" s="2">
        <v>0</v>
      </c>
      <c r="K102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2" s="2">
        <v>0</v>
      </c>
      <c r="M102" s="2">
        <v>0</v>
      </c>
      <c r="N102" s="2">
        <v>0</v>
      </c>
      <c r="O102" s="2">
        <v>1</v>
      </c>
      <c r="P102" s="2"/>
      <c r="Q102" s="2"/>
      <c r="R102" s="2">
        <v>0</v>
      </c>
      <c r="S102" s="38">
        <v>0</v>
      </c>
      <c r="T102" s="2">
        <v>0</v>
      </c>
      <c r="U102" s="2">
        <v>0</v>
      </c>
      <c r="V102" s="60">
        <f>SUM(Faculty_Clean_Data[[#This Row],[Teaching_Hours]],Faculty_Clean_Data[[#This Row],[Lab_Hours]],Faculty_Clean_Data[[#This Row],[Tutorials_Activity]])</f>
        <v>0</v>
      </c>
      <c r="W102" s="38">
        <v>5</v>
      </c>
      <c r="X102" s="39">
        <v>5</v>
      </c>
      <c r="Y102" s="38">
        <v>8</v>
      </c>
      <c r="Z102" s="38">
        <v>6</v>
      </c>
      <c r="AA102" s="43">
        <f t="shared" si="2"/>
        <v>19</v>
      </c>
      <c r="AB102" s="50">
        <f t="shared" si="3"/>
        <v>24</v>
      </c>
      <c r="AC102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24</v>
      </c>
      <c r="AD102" s="58" t="str">
        <f>IF(Faculty_Clean_Data[[#This Row],[Check_Total]]-Faculty_Clean_Data[[#This Row],[Total_Hours]]&gt;0.5,"Mismatch","OK")</f>
        <v>OK</v>
      </c>
    </row>
    <row r="103" spans="1:30" ht="30" x14ac:dyDescent="0.25">
      <c r="A103" s="20">
        <v>102</v>
      </c>
      <c r="B103" s="1" t="s">
        <v>262</v>
      </c>
      <c r="C103" s="1" t="s">
        <v>107</v>
      </c>
      <c r="D103" s="17" t="s">
        <v>18</v>
      </c>
      <c r="E103" s="1" t="s">
        <v>73</v>
      </c>
      <c r="F103" s="38">
        <v>5.75</v>
      </c>
      <c r="G103" s="64" t="str">
        <f>IF(Faculty_Clean_Data[[#This Row],[Experience_Years]]&lt;5,"Junior",IF(Faculty_Clean_Data[[#This Row],[Experience_Years]]&gt;=15, "Senior", "Mid"))</f>
        <v>Mid</v>
      </c>
      <c r="H103" s="1" t="s">
        <v>121</v>
      </c>
      <c r="I103" s="1" t="s">
        <v>142</v>
      </c>
      <c r="J103" s="2">
        <v>1</v>
      </c>
      <c r="K103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3" s="2">
        <v>1</v>
      </c>
      <c r="M103" s="2">
        <v>1</v>
      </c>
      <c r="N103" s="2">
        <v>0</v>
      </c>
      <c r="O103" s="2">
        <v>2</v>
      </c>
      <c r="P103" s="2">
        <v>0</v>
      </c>
      <c r="Q103" s="2">
        <v>1</v>
      </c>
      <c r="R103" s="2">
        <v>10</v>
      </c>
      <c r="S103" s="38">
        <v>10</v>
      </c>
      <c r="T103" s="2">
        <v>4</v>
      </c>
      <c r="U103" s="2">
        <v>0</v>
      </c>
      <c r="V103" s="60">
        <f>SUM(Faculty_Clean_Data[[#This Row],[Teaching_Hours]],Faculty_Clean_Data[[#This Row],[Lab_Hours]],Faculty_Clean_Data[[#This Row],[Tutorials_Activity]])</f>
        <v>14</v>
      </c>
      <c r="W103" s="38">
        <v>1</v>
      </c>
      <c r="X103" s="39">
        <v>2</v>
      </c>
      <c r="Y103" s="38">
        <v>2</v>
      </c>
      <c r="Z103" s="38">
        <v>1</v>
      </c>
      <c r="AA103" s="43">
        <f t="shared" si="2"/>
        <v>5</v>
      </c>
      <c r="AB103" s="50">
        <f t="shared" si="3"/>
        <v>20</v>
      </c>
      <c r="AC103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20</v>
      </c>
      <c r="AD103" s="58" t="str">
        <f>IF(Faculty_Clean_Data[[#This Row],[Check_Total]]-Faculty_Clean_Data[[#This Row],[Total_Hours]]&gt;0.5,"Mismatch","OK")</f>
        <v>OK</v>
      </c>
    </row>
    <row r="104" spans="1:30" ht="30" x14ac:dyDescent="0.25">
      <c r="A104" s="20">
        <v>103</v>
      </c>
      <c r="B104" s="1" t="s">
        <v>263</v>
      </c>
      <c r="C104" s="1" t="s">
        <v>108</v>
      </c>
      <c r="D104" s="17" t="s">
        <v>18</v>
      </c>
      <c r="E104" s="1" t="s">
        <v>73</v>
      </c>
      <c r="F104" s="38">
        <v>1.4166666666666667</v>
      </c>
      <c r="G104" s="64" t="str">
        <f>IF(Faculty_Clean_Data[[#This Row],[Experience_Years]]&lt;5,"Junior",IF(Faculty_Clean_Data[[#This Row],[Experience_Years]]&gt;=15, "Senior", "Mid"))</f>
        <v>Junior</v>
      </c>
      <c r="H104" s="1" t="s">
        <v>137</v>
      </c>
      <c r="I104" s="1" t="s">
        <v>138</v>
      </c>
      <c r="J104" s="2">
        <v>2</v>
      </c>
      <c r="K104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4" s="2">
        <v>0</v>
      </c>
      <c r="M104" s="2">
        <v>0</v>
      </c>
      <c r="N104" s="2">
        <v>1</v>
      </c>
      <c r="O104" s="2">
        <v>1</v>
      </c>
      <c r="P104" s="2">
        <v>1</v>
      </c>
      <c r="Q104" s="2">
        <v>0</v>
      </c>
      <c r="R104" s="2">
        <v>4</v>
      </c>
      <c r="S104" s="38">
        <v>4</v>
      </c>
      <c r="T104" s="2">
        <v>3</v>
      </c>
      <c r="U104" s="2">
        <v>1</v>
      </c>
      <c r="V104" s="60">
        <f>SUM(Faculty_Clean_Data[[#This Row],[Teaching_Hours]],Faculty_Clean_Data[[#This Row],[Lab_Hours]],Faculty_Clean_Data[[#This Row],[Tutorials_Activity]])</f>
        <v>8</v>
      </c>
      <c r="W104" s="38">
        <v>1</v>
      </c>
      <c r="X104" s="39">
        <v>2</v>
      </c>
      <c r="Y104" s="38">
        <v>2</v>
      </c>
      <c r="Z104" s="38">
        <v>1</v>
      </c>
      <c r="AA104" s="43">
        <f t="shared" si="2"/>
        <v>5</v>
      </c>
      <c r="AB104" s="50">
        <f t="shared" si="3"/>
        <v>14</v>
      </c>
      <c r="AC104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104" s="58" t="str">
        <f>IF(Faculty_Clean_Data[[#This Row],[Check_Total]]-Faculty_Clean_Data[[#This Row],[Total_Hours]]&gt;0.5,"Mismatch","OK")</f>
        <v>OK</v>
      </c>
    </row>
    <row r="105" spans="1:30" ht="30" x14ac:dyDescent="0.25">
      <c r="A105" s="20">
        <v>104</v>
      </c>
      <c r="B105" s="1" t="s">
        <v>264</v>
      </c>
      <c r="C105" s="1" t="s">
        <v>109</v>
      </c>
      <c r="D105" s="17" t="s">
        <v>18</v>
      </c>
      <c r="E105" s="1" t="s">
        <v>73</v>
      </c>
      <c r="F105" s="38">
        <v>1.4166666666666667</v>
      </c>
      <c r="G105" s="64" t="str">
        <f>IF(Faculty_Clean_Data[[#This Row],[Experience_Years]]&lt;5,"Junior",IF(Faculty_Clean_Data[[#This Row],[Experience_Years]]&gt;=15, "Senior", "Mid"))</f>
        <v>Junior</v>
      </c>
      <c r="H105" s="1" t="s">
        <v>137</v>
      </c>
      <c r="I105" s="1" t="s">
        <v>138</v>
      </c>
      <c r="J105" s="2">
        <v>1</v>
      </c>
      <c r="K105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5" s="2">
        <v>1</v>
      </c>
      <c r="M105" s="2">
        <v>0</v>
      </c>
      <c r="N105" s="2">
        <v>1</v>
      </c>
      <c r="O105" s="2">
        <v>3</v>
      </c>
      <c r="P105" s="2">
        <v>0</v>
      </c>
      <c r="Q105" s="2">
        <v>1</v>
      </c>
      <c r="R105" s="2">
        <v>0</v>
      </c>
      <c r="S105" s="38">
        <v>9</v>
      </c>
      <c r="T105" s="2">
        <v>0</v>
      </c>
      <c r="U105" s="2">
        <v>0</v>
      </c>
      <c r="V105" s="60">
        <f>SUM(Faculty_Clean_Data[[#This Row],[Teaching_Hours]],Faculty_Clean_Data[[#This Row],[Lab_Hours]],Faculty_Clean_Data[[#This Row],[Tutorials_Activity]])</f>
        <v>9</v>
      </c>
      <c r="W105" s="38">
        <v>1</v>
      </c>
      <c r="X105" s="39">
        <v>1</v>
      </c>
      <c r="Y105" s="38">
        <v>2</v>
      </c>
      <c r="Z105" s="38">
        <v>1</v>
      </c>
      <c r="AA105" s="43">
        <f t="shared" si="2"/>
        <v>4</v>
      </c>
      <c r="AB105" s="50">
        <f t="shared" si="3"/>
        <v>14</v>
      </c>
      <c r="AC105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14</v>
      </c>
      <c r="AD105" s="58" t="str">
        <f>IF(Faculty_Clean_Data[[#This Row],[Check_Total]]-Faculty_Clean_Data[[#This Row],[Total_Hours]]&gt;0.5,"Mismatch","OK")</f>
        <v>OK</v>
      </c>
    </row>
    <row r="106" spans="1:30" ht="30" x14ac:dyDescent="0.25">
      <c r="A106" s="20">
        <v>105</v>
      </c>
      <c r="B106" s="1" t="s">
        <v>265</v>
      </c>
      <c r="C106" s="1" t="s">
        <v>110</v>
      </c>
      <c r="D106" s="17" t="s">
        <v>18</v>
      </c>
      <c r="E106" s="1" t="s">
        <v>73</v>
      </c>
      <c r="F106" s="38">
        <v>4</v>
      </c>
      <c r="G106" s="64" t="str">
        <f>IF(Faculty_Clean_Data[[#This Row],[Experience_Years]]&lt;5,"Junior",IF(Faculty_Clean_Data[[#This Row],[Experience_Years]]&gt;=15, "Senior", "Mid"))</f>
        <v>Junior</v>
      </c>
      <c r="H106" s="1" t="s">
        <v>137</v>
      </c>
      <c r="I106" s="1" t="s">
        <v>143</v>
      </c>
      <c r="J106" s="2">
        <v>1</v>
      </c>
      <c r="K106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6" s="2">
        <v>1</v>
      </c>
      <c r="M106" s="2">
        <v>0</v>
      </c>
      <c r="N106" s="2">
        <v>1</v>
      </c>
      <c r="O106" s="2">
        <v>2</v>
      </c>
      <c r="P106" s="2">
        <v>0</v>
      </c>
      <c r="Q106" s="2">
        <v>1</v>
      </c>
      <c r="R106" s="2">
        <v>0</v>
      </c>
      <c r="S106" s="38">
        <v>0</v>
      </c>
      <c r="T106" s="2">
        <v>6</v>
      </c>
      <c r="U106" s="2">
        <v>0</v>
      </c>
      <c r="V106" s="60">
        <f>SUM(Faculty_Clean_Data[[#This Row],[Teaching_Hours]],Faculty_Clean_Data[[#This Row],[Lab_Hours]],Faculty_Clean_Data[[#This Row],[Tutorials_Activity]])</f>
        <v>6</v>
      </c>
      <c r="W106" s="38">
        <v>1</v>
      </c>
      <c r="X106" s="39">
        <v>2</v>
      </c>
      <c r="Y106" s="38">
        <v>2</v>
      </c>
      <c r="Z106" s="38">
        <v>1</v>
      </c>
      <c r="AA106" s="43">
        <f t="shared" si="2"/>
        <v>5</v>
      </c>
      <c r="AB106" s="50">
        <f t="shared" si="3"/>
        <v>12</v>
      </c>
      <c r="AC106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12</v>
      </c>
      <c r="AD106" s="58" t="str">
        <f>IF(Faculty_Clean_Data[[#This Row],[Check_Total]]-Faculty_Clean_Data[[#This Row],[Total_Hours]]&gt;0.5,"Mismatch","OK")</f>
        <v>OK</v>
      </c>
    </row>
    <row r="107" spans="1:30" ht="30" x14ac:dyDescent="0.25">
      <c r="A107" s="20">
        <v>106</v>
      </c>
      <c r="B107" s="1" t="s">
        <v>266</v>
      </c>
      <c r="C107" s="1" t="s">
        <v>111</v>
      </c>
      <c r="D107" s="17" t="s">
        <v>18</v>
      </c>
      <c r="E107" s="1" t="s">
        <v>73</v>
      </c>
      <c r="F107" s="38">
        <v>2</v>
      </c>
      <c r="G107" s="64" t="str">
        <f>IF(Faculty_Clean_Data[[#This Row],[Experience_Years]]&lt;5,"Junior",IF(Faculty_Clean_Data[[#This Row],[Experience_Years]]&gt;=15, "Senior", "Mid"))</f>
        <v>Junior</v>
      </c>
      <c r="H107" s="1" t="s">
        <v>133</v>
      </c>
      <c r="I107" s="1" t="s">
        <v>135</v>
      </c>
      <c r="J107" s="2">
        <v>1</v>
      </c>
      <c r="K107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7" s="2">
        <v>0</v>
      </c>
      <c r="M107" s="2">
        <v>0</v>
      </c>
      <c r="N107" s="2">
        <v>1</v>
      </c>
      <c r="O107" s="2">
        <v>0.38</v>
      </c>
      <c r="P107" s="2">
        <v>1</v>
      </c>
      <c r="Q107" s="2">
        <v>0</v>
      </c>
      <c r="R107" s="2">
        <v>5</v>
      </c>
      <c r="S107" s="38">
        <v>5</v>
      </c>
      <c r="T107" s="2">
        <v>0</v>
      </c>
      <c r="U107" s="2">
        <v>0</v>
      </c>
      <c r="V107" s="60">
        <f>SUM(Faculty_Clean_Data[[#This Row],[Teaching_Hours]],Faculty_Clean_Data[[#This Row],[Lab_Hours]],Faculty_Clean_Data[[#This Row],[Tutorials_Activity]])</f>
        <v>5</v>
      </c>
      <c r="W107" s="38">
        <v>1</v>
      </c>
      <c r="X107" s="39">
        <v>1</v>
      </c>
      <c r="Y107" s="38">
        <v>2</v>
      </c>
      <c r="Z107" s="38">
        <v>1</v>
      </c>
      <c r="AA107" s="43">
        <f t="shared" si="2"/>
        <v>4</v>
      </c>
      <c r="AB107" s="50">
        <f t="shared" si="3"/>
        <v>10</v>
      </c>
      <c r="AC107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10</v>
      </c>
      <c r="AD107" s="58" t="str">
        <f>IF(Faculty_Clean_Data[[#This Row],[Check_Total]]-Faculty_Clean_Data[[#This Row],[Total_Hours]]&gt;0.5,"Mismatch","OK")</f>
        <v>OK</v>
      </c>
    </row>
    <row r="108" spans="1:30" x14ac:dyDescent="0.25">
      <c r="A108" s="20">
        <v>107</v>
      </c>
      <c r="B108" s="1" t="s">
        <v>267</v>
      </c>
      <c r="C108" s="1" t="s">
        <v>281</v>
      </c>
      <c r="D108" s="1" t="s">
        <v>18</v>
      </c>
      <c r="E108" s="1" t="s">
        <v>37</v>
      </c>
      <c r="F108" s="38">
        <v>16</v>
      </c>
      <c r="G108" s="64" t="str">
        <f>IF(Faculty_Clean_Data[[#This Row],[Experience_Years]]&lt;5,"Junior",IF(Faculty_Clean_Data[[#This Row],[Experience_Years]]&gt;=15, "Senior", "Mid"))</f>
        <v>Senior</v>
      </c>
      <c r="H108" s="1" t="s">
        <v>133</v>
      </c>
      <c r="I108" s="1" t="s">
        <v>135</v>
      </c>
      <c r="J108" s="2">
        <v>1</v>
      </c>
      <c r="K108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8" s="2">
        <v>0</v>
      </c>
      <c r="M108" s="2">
        <v>0</v>
      </c>
      <c r="N108" s="2">
        <v>1</v>
      </c>
      <c r="O108" s="2">
        <v>1</v>
      </c>
      <c r="P108" s="2">
        <v>0</v>
      </c>
      <c r="Q108" s="2">
        <v>1</v>
      </c>
      <c r="R108" s="2">
        <v>5</v>
      </c>
      <c r="S108" s="38">
        <v>5</v>
      </c>
      <c r="T108" s="2">
        <v>0</v>
      </c>
      <c r="U108" s="2">
        <v>0</v>
      </c>
      <c r="V108" s="60">
        <f>SUM(Faculty_Clean_Data[[#This Row],[Teaching_Hours]],Faculty_Clean_Data[[#This Row],[Lab_Hours]],Faculty_Clean_Data[[#This Row],[Tutorials_Activity]])</f>
        <v>5</v>
      </c>
      <c r="W108" s="38">
        <v>1</v>
      </c>
      <c r="X108" s="39">
        <v>8</v>
      </c>
      <c r="Y108" s="38">
        <v>6</v>
      </c>
      <c r="Z108" s="38">
        <v>1</v>
      </c>
      <c r="AA108" s="43">
        <f t="shared" si="2"/>
        <v>15</v>
      </c>
      <c r="AB108" s="50">
        <f t="shared" si="3"/>
        <v>21</v>
      </c>
      <c r="AC108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21</v>
      </c>
      <c r="AD108" s="58" t="str">
        <f>IF(Faculty_Clean_Data[[#This Row],[Check_Total]]-Faculty_Clean_Data[[#This Row],[Total_Hours]]&gt;0.5,"Mismatch","OK")</f>
        <v>OK</v>
      </c>
    </row>
    <row r="109" spans="1:30" ht="30" x14ac:dyDescent="0.25">
      <c r="A109" s="20">
        <v>108</v>
      </c>
      <c r="B109" s="1" t="s">
        <v>268</v>
      </c>
      <c r="C109" s="1" t="s">
        <v>112</v>
      </c>
      <c r="D109" s="17" t="s">
        <v>18</v>
      </c>
      <c r="E109" s="1" t="s">
        <v>73</v>
      </c>
      <c r="F109" s="38">
        <v>4.083333333333333</v>
      </c>
      <c r="G109" s="64" t="str">
        <f>IF(Faculty_Clean_Data[[#This Row],[Experience_Years]]&lt;5,"Junior",IF(Faculty_Clean_Data[[#This Row],[Experience_Years]]&gt;=15, "Senior", "Mid"))</f>
        <v>Junior</v>
      </c>
      <c r="H109" s="1" t="s">
        <v>133</v>
      </c>
      <c r="I109" s="1" t="s">
        <v>135</v>
      </c>
      <c r="J109" s="2">
        <v>2</v>
      </c>
      <c r="K109" s="66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09" s="2">
        <v>0</v>
      </c>
      <c r="M109" s="2">
        <v>0</v>
      </c>
      <c r="N109" s="2">
        <v>2</v>
      </c>
      <c r="O109" s="2">
        <v>1.38</v>
      </c>
      <c r="P109" s="2">
        <v>1</v>
      </c>
      <c r="Q109" s="2">
        <v>0</v>
      </c>
      <c r="R109" s="2">
        <v>0</v>
      </c>
      <c r="S109" s="38">
        <v>0</v>
      </c>
      <c r="T109" s="2">
        <v>6</v>
      </c>
      <c r="U109" s="2">
        <v>0</v>
      </c>
      <c r="V109" s="60">
        <f>SUM(Faculty_Clean_Data[[#This Row],[Teaching_Hours]],Faculty_Clean_Data[[#This Row],[Lab_Hours]],Faculty_Clean_Data[[#This Row],[Tutorials_Activity]])</f>
        <v>6</v>
      </c>
      <c r="W109" s="38">
        <v>1</v>
      </c>
      <c r="X109" s="39">
        <v>1</v>
      </c>
      <c r="Y109" s="38">
        <v>2</v>
      </c>
      <c r="Z109" s="38">
        <v>1</v>
      </c>
      <c r="AA109" s="43">
        <f t="shared" si="2"/>
        <v>4</v>
      </c>
      <c r="AB109" s="50">
        <f t="shared" si="3"/>
        <v>11</v>
      </c>
      <c r="AC109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11</v>
      </c>
      <c r="AD109" s="58" t="str">
        <f>IF(Faculty_Clean_Data[[#This Row],[Check_Total]]-Faculty_Clean_Data[[#This Row],[Total_Hours]]&gt;0.5,"Mismatch","OK")</f>
        <v>OK</v>
      </c>
    </row>
    <row r="110" spans="1:30" ht="30" x14ac:dyDescent="0.25">
      <c r="A110" s="28">
        <v>109</v>
      </c>
      <c r="B110" s="29" t="s">
        <v>269</v>
      </c>
      <c r="C110" s="29" t="s">
        <v>113</v>
      </c>
      <c r="D110" s="30" t="s">
        <v>18</v>
      </c>
      <c r="E110" s="29" t="s">
        <v>73</v>
      </c>
      <c r="F110" s="40">
        <v>2.5</v>
      </c>
      <c r="G110" s="65" t="str">
        <f>IF(Faculty_Clean_Data[[#This Row],[Experience_Years]]&lt;5,"Junior",IF(Faculty_Clean_Data[[#This Row],[Experience_Years]]&gt;=15, "Senior", "Mid"))</f>
        <v>Junior</v>
      </c>
      <c r="H110" s="29" t="s">
        <v>137</v>
      </c>
      <c r="I110" s="29" t="s">
        <v>138</v>
      </c>
      <c r="J110" s="31">
        <v>1</v>
      </c>
      <c r="K110" s="67" t="str">
        <f>IF(AND(Faculty_Clean_Data[[#This Row],[No_of_Subjects_Allotted]]&gt;=2,Faculty_Clean_Data[[#This Row],[Same_subject_Different_sections]]=1,Faculty_Clean_Data[[#This Row],[Class_Size]]&gt;=3),"High Load","Low Load")</f>
        <v>Low Load</v>
      </c>
      <c r="L110" s="31">
        <v>1</v>
      </c>
      <c r="M110" s="31">
        <v>0</v>
      </c>
      <c r="N110" s="31">
        <v>1</v>
      </c>
      <c r="O110" s="31">
        <v>2</v>
      </c>
      <c r="P110" s="31">
        <v>0</v>
      </c>
      <c r="Q110" s="31">
        <v>1</v>
      </c>
      <c r="R110" s="31">
        <v>0</v>
      </c>
      <c r="S110" s="40">
        <v>0</v>
      </c>
      <c r="T110" s="31">
        <v>6</v>
      </c>
      <c r="U110" s="31">
        <v>0</v>
      </c>
      <c r="V110" s="60">
        <f>SUM(Faculty_Clean_Data[[#This Row],[Teaching_Hours]],Faculty_Clean_Data[[#This Row],[Lab_Hours]],Faculty_Clean_Data[[#This Row],[Tutorials_Activity]])</f>
        <v>6</v>
      </c>
      <c r="W110" s="40">
        <v>1</v>
      </c>
      <c r="X110" s="46">
        <v>1</v>
      </c>
      <c r="Y110" s="40">
        <v>2</v>
      </c>
      <c r="Z110" s="38">
        <v>1</v>
      </c>
      <c r="AA110" s="43">
        <f t="shared" si="2"/>
        <v>4</v>
      </c>
      <c r="AB110" s="51">
        <f t="shared" si="3"/>
        <v>11</v>
      </c>
      <c r="AC110" s="55">
        <f>Faculty_Clean_Data[[#This Row],[Direct_Teaching_Hours]]+Faculty_Clean_Data[[#This Row],[Research_Hours]]+Faculty_Clean_Data[[#This Row],[Committee_Hours]]+Faculty_Clean_Data[[#This Row],[Administrative_Hours]]+Faculty_Clean_Data[[#This Row],[Projects_Mentoring]]</f>
        <v>11</v>
      </c>
      <c r="AD110" s="58" t="str">
        <f>IF(Faculty_Clean_Data[[#This Row],[Check_Total]]-Faculty_Clean_Data[[#This Row],[Total_Hours]]&gt;0.5,"Mismatch","OK")</f>
        <v>OK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6AC456-5D9F-49D1-B053-10DEFF83E5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Faculty_Clean_Data</vt:lpstr>
      <vt:lpstr>Clean_Data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Rama Mokkarala</dc:creator>
  <cp:lastModifiedBy>Dr. Rama Mokkarala</cp:lastModifiedBy>
  <dcterms:created xsi:type="dcterms:W3CDTF">2015-06-05T18:17:20Z</dcterms:created>
  <dcterms:modified xsi:type="dcterms:W3CDTF">2026-04-11T07:25:32Z</dcterms:modified>
</cp:coreProperties>
</file>